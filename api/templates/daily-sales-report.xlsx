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micahVinluan/Downloads/"/>
    </mc:Choice>
  </mc:AlternateContent>
  <xr:revisionPtr revIDLastSave="0" documentId="13_ncr:1_{52591F6F-D38D-6846-B805-2CF0932A3182}" xr6:coauthVersionLast="47" xr6:coauthVersionMax="47" xr10:uidLastSave="{00000000-0000-0000-0000-000000000000}"/>
  <bookViews>
    <workbookView xWindow="0" yWindow="760" windowWidth="29040" windowHeight="15840" activeTab="1" xr2:uid="{00000000-000D-0000-FFFF-FFFF00000000}"/>
  </bookViews>
  <sheets>
    <sheet name="Chart1" sheetId="7" state="hidden" r:id="rId1"/>
    <sheet name="FRONT " sheetId="1" r:id="rId2"/>
    <sheet name="WALK IN" sheetId="2" r:id="rId3"/>
    <sheet name="DELIVERY" sheetId="3" r:id="rId4"/>
    <sheet name="SHIPPING" sheetId="5" r:id="rId5"/>
    <sheet name="CREDIT CARD" sheetId="4" r:id="rId6"/>
    <sheet name="RECEIPT TRACKER" sheetId="6" r:id="rId7"/>
    <sheet name="PRODUCT LIST" sheetId="10" r:id="rId8"/>
    <sheet name="NO SALE-FRONT" sheetId="11" r:id="rId9"/>
  </sheets>
  <externalReferences>
    <externalReference r:id="rId10"/>
  </externalReferences>
  <definedNames>
    <definedName name="_xlnm.Print_Area" localSheetId="5">'CREDIT CARD'!$A$1:$K$21</definedName>
    <definedName name="_xlnm.Print_Area" localSheetId="3">DELIVERY!$A$1:$G$29</definedName>
    <definedName name="_xlnm.Print_Area" localSheetId="1">'FRONT '!$A$1:$R$66</definedName>
    <definedName name="_xlnm.Print_Area" localSheetId="6">'RECEIPT TRACKER'!$A$1:$G$53</definedName>
    <definedName name="_xlnm.Print_Area" localSheetId="4">SHIPPING!$A$1:$G$19</definedName>
    <definedName name="_xlnm.Print_Area" localSheetId="2">'WALK IN'!$G$1:$K$30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F53" i="6"/>
  <c r="E53" i="6"/>
  <c r="D53" i="6"/>
  <c r="C53" i="6"/>
  <c r="D37" i="1"/>
  <c r="D35" i="1"/>
  <c r="N24" i="1"/>
  <c r="D48" i="1" l="1"/>
  <c r="D47" i="1"/>
  <c r="L9" i="1" l="1"/>
  <c r="D44" i="1"/>
  <c r="C62" i="1"/>
  <c r="C61" i="1"/>
  <c r="F21" i="1"/>
  <c r="C10" i="1"/>
  <c r="D30" i="2" l="1"/>
  <c r="D55" i="2"/>
  <c r="G74" i="5"/>
  <c r="F74" i="5"/>
  <c r="E74" i="5"/>
  <c r="D74" i="5"/>
  <c r="C27" i="1" s="1"/>
  <c r="C74" i="5"/>
  <c r="N159" i="3"/>
  <c r="M159" i="3"/>
  <c r="L159" i="3"/>
  <c r="C23" i="1" s="1"/>
  <c r="K159" i="3"/>
  <c r="F159" i="3"/>
  <c r="E159" i="3"/>
  <c r="D159" i="3"/>
  <c r="C159" i="3"/>
  <c r="J111" i="2"/>
  <c r="C19" i="1" s="1"/>
  <c r="I111" i="2"/>
  <c r="D111" i="2"/>
  <c r="C111" i="2"/>
  <c r="C9" i="1" l="1"/>
  <c r="D41" i="1" s="1"/>
  <c r="F12" i="1"/>
  <c r="C65" i="1" s="1"/>
  <c r="E124" i="4"/>
  <c r="F124" i="4"/>
  <c r="D124" i="4"/>
  <c r="E99" i="4"/>
  <c r="F99" i="4"/>
  <c r="D99" i="4"/>
  <c r="E74" i="4"/>
  <c r="F74" i="4"/>
  <c r="D74" i="4"/>
  <c r="G53" i="4"/>
  <c r="G74" i="4" s="1"/>
  <c r="G29" i="4"/>
  <c r="G28" i="4"/>
  <c r="G5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E49" i="4"/>
  <c r="C15" i="1" s="1"/>
  <c r="F49" i="4"/>
  <c r="D49" i="4"/>
  <c r="J4" i="1"/>
  <c r="K5" i="1"/>
  <c r="K6" i="1"/>
  <c r="I4" i="1"/>
  <c r="N59" i="3"/>
  <c r="M59" i="3"/>
  <c r="L59" i="3"/>
  <c r="K59" i="3"/>
  <c r="F59" i="3"/>
  <c r="E59" i="3"/>
  <c r="D59" i="3"/>
  <c r="C59" i="3"/>
  <c r="F9" i="1"/>
  <c r="C60" i="1" s="1"/>
  <c r="J42" i="1"/>
  <c r="D45" i="1" s="1"/>
  <c r="F20" i="1"/>
  <c r="C24" i="1"/>
  <c r="F21" i="4"/>
  <c r="F17" i="1" s="1"/>
  <c r="E21" i="4"/>
  <c r="C13" i="1" s="1"/>
  <c r="D21" i="4"/>
  <c r="O46" i="5"/>
  <c r="L46" i="5"/>
  <c r="M46" i="5"/>
  <c r="N46" i="5"/>
  <c r="K46" i="5"/>
  <c r="D46" i="5"/>
  <c r="E46" i="5"/>
  <c r="F46" i="5"/>
  <c r="G46" i="5"/>
  <c r="C46" i="5"/>
  <c r="N19" i="5"/>
  <c r="L19" i="5"/>
  <c r="M19" i="5"/>
  <c r="K19" i="5"/>
  <c r="G19" i="5"/>
  <c r="D19" i="5"/>
  <c r="E19" i="5"/>
  <c r="C19" i="5"/>
  <c r="N93" i="3"/>
  <c r="M93" i="3"/>
  <c r="L93" i="3"/>
  <c r="K93" i="3"/>
  <c r="N126" i="3"/>
  <c r="M126" i="3"/>
  <c r="L126" i="3"/>
  <c r="F19" i="1" s="1"/>
  <c r="K126" i="3"/>
  <c r="F126" i="3"/>
  <c r="E126" i="3"/>
  <c r="D126" i="3"/>
  <c r="C126" i="3"/>
  <c r="F93" i="3"/>
  <c r="E93" i="3"/>
  <c r="D93" i="3"/>
  <c r="C93" i="3"/>
  <c r="N29" i="3"/>
  <c r="M29" i="3"/>
  <c r="J3" i="1" s="1"/>
  <c r="L29" i="3"/>
  <c r="F29" i="3"/>
  <c r="E29" i="3"/>
  <c r="D29" i="3"/>
  <c r="C6" i="1" s="1"/>
  <c r="C29" i="3"/>
  <c r="J83" i="2"/>
  <c r="I83" i="2"/>
  <c r="D83" i="2"/>
  <c r="C83" i="2"/>
  <c r="J55" i="2"/>
  <c r="C17" i="1" s="1"/>
  <c r="I55" i="2"/>
  <c r="C55" i="2"/>
  <c r="J30" i="2"/>
  <c r="C16" i="1" s="1"/>
  <c r="I30" i="2"/>
  <c r="C5" i="1"/>
  <c r="C30" i="2"/>
  <c r="G21" i="4" l="1"/>
  <c r="I3" i="1"/>
  <c r="D31" i="1"/>
  <c r="C14" i="1"/>
  <c r="F5" i="1"/>
  <c r="C58" i="1" s="1"/>
  <c r="G49" i="4"/>
  <c r="J9" i="1"/>
  <c r="F16" i="1"/>
  <c r="F22" i="1" s="1"/>
  <c r="F7" i="1"/>
  <c r="C63" i="1" s="1"/>
  <c r="F8" i="1"/>
  <c r="C64" i="1" s="1"/>
  <c r="K3" i="1" l="1"/>
  <c r="I9" i="1"/>
  <c r="C26" i="1" l="1"/>
  <c r="C25" i="1"/>
  <c r="C28" i="1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24" i="4" s="1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99" i="4" s="1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C22" i="1"/>
  <c r="C21" i="1"/>
  <c r="C20" i="1"/>
  <c r="D33" i="1" s="1"/>
  <c r="K29" i="3"/>
  <c r="C18" i="1"/>
  <c r="C8" i="1"/>
  <c r="C11" i="1" s="1"/>
  <c r="C52" i="1" s="1"/>
  <c r="C7" i="1"/>
  <c r="K56" i="1"/>
  <c r="J56" i="1"/>
  <c r="D46" i="1" s="1"/>
  <c r="D49" i="1" s="1"/>
  <c r="C53" i="1" s="1"/>
  <c r="M3" i="1"/>
  <c r="F6" i="1" l="1"/>
  <c r="C59" i="1" s="1"/>
  <c r="D39" i="1"/>
  <c r="C29" i="1"/>
  <c r="K24" i="1"/>
  <c r="C54" i="1"/>
  <c r="C56" i="1" s="1"/>
  <c r="K4" i="1"/>
  <c r="M4" i="1" s="1"/>
  <c r="M6" i="1"/>
  <c r="M5" i="1"/>
  <c r="D56" i="1" l="1"/>
  <c r="C57" i="1"/>
  <c r="M9" i="1"/>
  <c r="K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Sydney A.</author>
  </authors>
  <commentList>
    <comment ref="G9" authorId="0" shapeId="0" xr:uid="{CA3E3CB4-534A-48F9-AB0D-A04716B8162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" authorId="0" shapeId="0" xr:uid="{C74EDEC1-F9D1-41D5-97BA-BFBD2135202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1" authorId="0" shapeId="0" xr:uid="{D8FA2577-CFDE-46FF-930F-9CF7BDD2DF4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2" authorId="0" shapeId="0" xr:uid="{2541E223-DFDE-4F4A-8D08-0D32C16B63A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3" authorId="0" shapeId="0" xr:uid="{3D76A341-37E5-4214-87A6-6294CDB1DB2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4" authorId="0" shapeId="0" xr:uid="{B081AA4E-F906-41CE-8791-ED1AD071528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" authorId="0" shapeId="0" xr:uid="{FCAB0CEC-9738-4CC2-8B8E-6F88F44A364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5" authorId="0" shapeId="0" xr:uid="{8924E502-4A46-4331-B3A9-56795CD02AC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6" authorId="0" shapeId="0" xr:uid="{AC958944-AB0C-43E2-87A8-D9554A4E503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6" authorId="0" shapeId="0" xr:uid="{4094254C-3188-4B78-874B-9B8129CA07E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7" authorId="0" shapeId="0" xr:uid="{0E073364-795F-4428-B8D8-A0BCB750176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7" authorId="0" shapeId="0" xr:uid="{395D9893-2EEB-4505-9F7F-5C3715563B0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8" authorId="0" shapeId="0" xr:uid="{20E422CC-CF17-45B9-9D00-3F256B1FD69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8" authorId="0" shapeId="0" xr:uid="{0760D762-7F9B-4E35-B0C1-59E0173F2B2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9" authorId="0" shapeId="0" xr:uid="{E66E213D-C455-4AB3-86DF-4CA388362A5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9" authorId="0" shapeId="0" xr:uid="{8A7E527C-5CA1-4148-A53A-9767E351C33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0" authorId="0" shapeId="0" xr:uid="{09C2B79D-6676-428A-9F70-9812AA36881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0" authorId="0" shapeId="0" xr:uid="{DD5DFC52-F2B9-4D88-94DC-1EFF43A689A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1" authorId="0" shapeId="0" xr:uid="{AF6ED7C9-3977-4E0A-B401-23AFB43DB2B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1" authorId="0" shapeId="0" xr:uid="{66F2EBDB-9ED1-4151-B0F7-FA60F6F261A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2" authorId="0" shapeId="0" xr:uid="{D7546378-676E-4268-BC30-1B5A7A90325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2" authorId="0" shapeId="0" xr:uid="{C871EEC7-AB84-455B-B762-E8AE47F160F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3" authorId="0" shapeId="0" xr:uid="{1FF1AD3F-CAE0-4EBE-9035-0CF8B8A8B6E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3" authorId="0" shapeId="0" xr:uid="{1AEC3360-31FE-4C6D-95F0-490060E9AF1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4" authorId="0" shapeId="0" xr:uid="{6550BFEE-EF32-4856-9648-234C23BE897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4" authorId="0" shapeId="0" xr:uid="{43517828-842F-4996-A287-22701A06250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5" authorId="0" shapeId="0" xr:uid="{3BB947B7-082C-49EA-9560-E930F221897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5" authorId="0" shapeId="0" xr:uid="{173AD6A9-4415-409A-A6A0-14578413E72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6" authorId="0" shapeId="0" xr:uid="{19B51799-EBCD-4FA9-A1D0-6218D361EF0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6" authorId="0" shapeId="0" xr:uid="{9BBD5A7D-DD7C-4E9D-AE47-A772E33FE86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7" authorId="0" shapeId="0" xr:uid="{4F1D6FBF-6927-4A43-9B4B-25207693486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7" authorId="0" shapeId="0" xr:uid="{E9BABD4C-1CAF-4891-9004-7D64BC1CB0C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8" authorId="0" shapeId="0" xr:uid="{5B3A7FB9-4BE3-4413-BD05-6508C84FC11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8" authorId="0" shapeId="0" xr:uid="{1754C096-1698-4C7E-B02E-8AA7E269524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9" authorId="0" shapeId="0" xr:uid="{FBB60FA4-278C-47AE-8684-1EA0F2B6F2F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29" authorId="0" shapeId="0" xr:uid="{53601F3F-90FB-4BCF-B075-D964CEBD063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8" authorId="0" shapeId="0" xr:uid="{25752CE3-66BD-4673-8B09-CB38501ECAB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38" authorId="0" shapeId="0" xr:uid="{A775D692-4D6F-420C-B8ED-5DC02458CDA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9" authorId="0" shapeId="0" xr:uid="{E07952FA-65CF-46D1-A317-06B0EB7F241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39" authorId="0" shapeId="0" xr:uid="{2A7F99E6-26FD-4682-B564-120323543CA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0" authorId="0" shapeId="0" xr:uid="{63785561-748E-4858-9FB7-0383BE7ADE0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0" authorId="0" shapeId="0" xr:uid="{AC4540FF-B712-4137-A633-A17FC254C38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1" authorId="0" shapeId="0" xr:uid="{40C85E68-DEE9-4C67-8672-9477E18327C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1" authorId="0" shapeId="0" xr:uid="{8596D630-113A-45C1-A471-D2B64E1F0A6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2" authorId="0" shapeId="0" xr:uid="{50C495B7-33D3-44DC-84CE-7C48F0EFE6A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2" authorId="0" shapeId="0" xr:uid="{39526B4F-C5D0-4C8C-9E49-755E043FDF8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3" authorId="0" shapeId="0" xr:uid="{D486247D-575B-4907-A86C-6FFA9032570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3" authorId="0" shapeId="0" xr:uid="{3DF98684-55C7-49DD-ACB8-F5396AD70CC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4" authorId="0" shapeId="0" xr:uid="{3096AB89-D176-4AD6-9917-8ECC95E6B19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4" authorId="0" shapeId="0" xr:uid="{EEA0405B-CA07-45B8-A32C-0239B3897F8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5" authorId="0" shapeId="0" xr:uid="{CD8FF6FB-B9D4-4A9E-942B-ADAEB5BB421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5" authorId="0" shapeId="0" xr:uid="{9DA7CFCE-86A9-4171-A409-0074CFE8921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6" authorId="0" shapeId="0" xr:uid="{132A0BDB-30DB-42CB-AFF9-30F4B41317B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6" authorId="0" shapeId="0" xr:uid="{F00F8C8B-457E-4D28-80AF-EBE3BBC972D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7" authorId="0" shapeId="0" xr:uid="{968BFED4-0061-4A71-89BA-A7FED0A099E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7" authorId="0" shapeId="0" xr:uid="{42BAAF88-B941-4420-A384-D18F01D5F08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8" authorId="0" shapeId="0" xr:uid="{6CE3EE54-E500-4716-B344-4FC8E3B4D9C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8" authorId="0" shapeId="0" xr:uid="{6BFF6F36-70BB-44F0-870B-1CE72F2E6D8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9" authorId="0" shapeId="0" xr:uid="{E33F87F1-EA1C-4BFE-A7BF-D84FA21C9B4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49" authorId="0" shapeId="0" xr:uid="{2E557DA3-02A4-4E32-BD4B-DF92B6A6107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0" authorId="0" shapeId="0" xr:uid="{804C748B-ABC6-4D71-942E-AE6612AF251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50" authorId="0" shapeId="0" xr:uid="{4B3A534F-1603-41F5-BAC5-1B2932D3764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1" authorId="0" shapeId="0" xr:uid="{65C9AB29-E232-4FCA-80A7-9AAE09C09DD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51" authorId="0" shapeId="0" xr:uid="{66DE693A-5B26-44B9-9916-A5C35FDBE0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2" authorId="0" shapeId="0" xr:uid="{B522506E-B73F-4080-9715-D6CB7808828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52" authorId="0" shapeId="0" xr:uid="{F1CB738D-FE64-444B-9F56-33A4FECADAF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3" authorId="0" shapeId="0" xr:uid="{E30BABA7-2279-454C-BFF5-E89001A9BAA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53" authorId="0" shapeId="0" xr:uid="{62E7E2A0-0F82-422C-BECB-BE813D532E7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4" authorId="0" shapeId="0" xr:uid="{EF007F40-6BBE-4460-B430-E14CDD43B04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54" authorId="0" shapeId="0" xr:uid="{52057AB7-3446-442E-BF02-E29354D3C4D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65" authorId="0" shapeId="0" xr:uid="{62DDB457-587C-43CD-8AC4-72DA5AE8310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66" authorId="0" shapeId="0" xr:uid="{76F240E3-D948-4644-955F-CF98E96126E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67" authorId="0" shapeId="0" xr:uid="{A4F68FBD-B22C-426C-88F1-9D9AC784571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68" authorId="0" shapeId="0" xr:uid="{9CE794D2-43B9-4BA5-A123-921C3F2897A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9" authorId="0" shapeId="0" xr:uid="{7A2E30A6-6E63-4FAD-BA67-50E864CF3F0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69" authorId="0" shapeId="0" xr:uid="{A7E48A06-ECB2-423E-8FF3-DDB85DE2E4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0" authorId="0" shapeId="0" xr:uid="{CAC414BF-0F73-42C6-BE14-31739B86143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0" authorId="0" shapeId="0" xr:uid="{E56B7D32-7191-419C-ABFF-ED9D490ED62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1" authorId="0" shapeId="0" xr:uid="{F01B7E94-4010-4B06-8340-AE986062C96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1" authorId="0" shapeId="0" xr:uid="{27E9B3FC-72E7-4D82-BB43-2B3CC13A4DC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2" authorId="0" shapeId="0" xr:uid="{0E30657B-CCFB-417F-B2C4-14D1BF38204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2" authorId="0" shapeId="0" xr:uid="{53E1CB54-EF87-44FC-9CE0-5AD0BBD9521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3" authorId="0" shapeId="0" xr:uid="{B4F27868-025A-4D43-9AD6-A77F91E2B85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3" authorId="0" shapeId="0" xr:uid="{CAF03DDE-D361-403F-B3A8-CBBCF48E868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4" authorId="0" shapeId="0" xr:uid="{1E3F296C-0843-4C43-88A2-F9CA02467C0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4" authorId="0" shapeId="0" xr:uid="{9FFD3AC2-776D-4D47-99ED-C430D5DD2FA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5" authorId="0" shapeId="0" xr:uid="{F54A8949-C8D9-44D9-B639-1F1ACD29297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5" authorId="0" shapeId="0" xr:uid="{8352E97E-5D97-44D8-B9DA-C08ECF37F99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6" authorId="0" shapeId="0" xr:uid="{08C7C463-3928-4E8B-A5E5-232B656AE26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6" authorId="0" shapeId="0" xr:uid="{219073BE-D13A-400A-BB12-40DBE09FC59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7" authorId="0" shapeId="0" xr:uid="{2ED23315-101B-4EF1-9535-76F7B922164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7" authorId="0" shapeId="0" xr:uid="{EDAD7388-71C4-47B9-9A6A-4B9B7B16ECB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8" authorId="0" shapeId="0" xr:uid="{C54339BC-5231-420F-A97B-4B46029B8EC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8" authorId="0" shapeId="0" xr:uid="{4307BE46-E89C-44AA-96CE-14B9F6B6892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9" authorId="0" shapeId="0" xr:uid="{0862F818-C7A9-4125-8A83-6BB677F101F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79" authorId="0" shapeId="0" xr:uid="{548AF257-EF24-48EF-8AC0-C084C409C8C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0" authorId="0" shapeId="0" xr:uid="{BCCD480F-85F5-42F2-8E5B-B284EC11354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80" authorId="0" shapeId="0" xr:uid="{4564881D-7A95-4319-A3A6-19E98E195F7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1" authorId="0" shapeId="0" xr:uid="{1510BDB1-D5D8-4FE2-AD4A-6CA35F24BEE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81" authorId="0" shapeId="0" xr:uid="{10F5CB83-6F61-4A60-81CB-26B740F82DC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2" authorId="0" shapeId="0" xr:uid="{E653829B-1EA6-43C3-A77F-F80779C595F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82" authorId="0" shapeId="0" xr:uid="{43981CD4-E2E4-4CA9-95B2-08D7321E501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5" authorId="0" shapeId="0" xr:uid="{FA82AFF2-C543-4C22-A30C-8832037D043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6" authorId="0" shapeId="0" xr:uid="{B618C869-7ED0-4AB7-8783-613C2B500D8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7" authorId="0" shapeId="0" xr:uid="{E998E369-B828-4192-920E-FE5DCCD7868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97" authorId="0" shapeId="0" xr:uid="{864F5145-2901-49CD-A5FC-00991695391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8" authorId="0" shapeId="0" xr:uid="{BDFA050B-52D9-4DD4-82D2-923A5E90295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98" authorId="0" shapeId="0" xr:uid="{BFDD9C95-B309-4B91-9DF2-9919AAD84D6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9" authorId="0" shapeId="0" xr:uid="{BBC3979E-0144-4137-B1E2-D63AF871CEE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99" authorId="0" shapeId="0" xr:uid="{19983AFD-FC5F-4894-852C-C590FF3643C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0" authorId="0" shapeId="0" xr:uid="{91480AED-6527-4F96-8275-8EE1371A7BB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0" authorId="0" shapeId="0" xr:uid="{7CC019E2-FB78-4209-9DD4-70580B1937D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1" authorId="0" shapeId="0" xr:uid="{96779262-2B99-458F-805E-EDF78023360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1" authorId="0" shapeId="0" xr:uid="{5BFC0283-8CAC-40EF-9052-034958C54F5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2" authorId="0" shapeId="0" xr:uid="{638AC838-83F8-4450-92CA-FC5D50FE3F5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2" authorId="0" shapeId="0" xr:uid="{0D63C78F-03F1-470E-97AE-D72632F1D7B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3" authorId="0" shapeId="0" xr:uid="{4BB8FDBF-6AF9-4901-B230-AA6C3CE3689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3" authorId="0" shapeId="0" xr:uid="{A270E3FD-4834-414C-A6D4-56E68B22322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4" authorId="0" shapeId="0" xr:uid="{81C0B20C-353B-436D-AF85-A14E3B10B83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4" authorId="0" shapeId="0" xr:uid="{4D36E5FC-2D89-440A-9DD1-9B8C7EDB81F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5" authorId="0" shapeId="0" xr:uid="{6D6E22EC-1010-4D42-9B2D-AED0E38D7D9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5" authorId="0" shapeId="0" xr:uid="{3D70592B-6C65-4E17-AE45-5D65CAFF41F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6" authorId="0" shapeId="0" xr:uid="{21BD6225-403A-41F1-925A-997F2B3ED0A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6" authorId="0" shapeId="0" xr:uid="{FB1B9E23-3C87-4018-BDCF-9E52418AFD6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7" authorId="0" shapeId="0" xr:uid="{9B05ADE4-A621-441C-983A-812F4C8C15D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7" authorId="0" shapeId="0" xr:uid="{C75C20BF-E2F7-42E5-82F5-3B63AB29E6C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8" authorId="0" shapeId="0" xr:uid="{03CF86B4-D4EE-4745-A3D0-6E8AFD30559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8" authorId="0" shapeId="0" xr:uid="{FE98763A-C243-4AAA-A5D9-FD498EBDAE2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9" authorId="0" shapeId="0" xr:uid="{B9DB9240-9006-4B5E-A24D-55B36CDC176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09" authorId="0" shapeId="0" xr:uid="{27E00A1F-0E80-4161-940C-35182FABC7C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0" authorId="0" shapeId="0" xr:uid="{B16378B1-0B92-4834-A258-EC14C31B041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G110" authorId="0" shapeId="0" xr:uid="{5A399C8D-C614-42A0-92D4-85F536BD56A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Sydney A.</author>
  </authors>
  <commentList>
    <comment ref="A6" authorId="0" shapeId="0" xr:uid="{0EC5CCFC-9B98-4E9D-98E8-C2BCA134A33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" authorId="0" shapeId="0" xr:uid="{D0A36008-94B2-4BF5-ACB5-BB449B11A37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" authorId="0" shapeId="0" xr:uid="{8C7473E0-7824-4E25-9BE3-F0A259F2A9A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" authorId="0" shapeId="0" xr:uid="{D6AD8B99-ABEC-4478-8853-E3F68B18BE1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" authorId="0" shapeId="0" xr:uid="{BFCE2EAE-A3D7-4D32-B256-66D5413F79F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" authorId="0" shapeId="0" xr:uid="{03FBE1D4-8A65-4C72-B769-DA70035CC6E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" authorId="0" shapeId="0" xr:uid="{34AF2AF8-690D-48B8-8324-B2D96DFD079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" authorId="0" shapeId="0" xr:uid="{1515F340-7973-4711-99E6-F190B4CFD77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" authorId="0" shapeId="0" xr:uid="{FE137288-CDC7-4E6F-9268-5E2B0675321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" authorId="0" shapeId="0" xr:uid="{A774F31D-69C5-45BF-8B49-EBF2FFB88C1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" authorId="0" shapeId="0" xr:uid="{BB1701C7-5568-4E1F-A0C3-84943050ADA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" authorId="0" shapeId="0" xr:uid="{66523F41-6A57-4E4E-A45B-8D6CA4625E9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" authorId="0" shapeId="0" xr:uid="{49AEA1E2-B730-4ED0-AED2-93F2D0F3201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" authorId="0" shapeId="0" xr:uid="{78DAD699-67F3-4B00-BD32-A2047AFFA0A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6" authorId="0" shapeId="0" xr:uid="{E7BF81C4-810E-4171-AD9F-AEA889E75B3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6" authorId="0" shapeId="0" xr:uid="{3AB602C7-ADFF-4359-98E9-B7DB84EC858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7" authorId="0" shapeId="0" xr:uid="{C1EB9116-5340-4E0B-8326-52C7171B0F5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7" authorId="0" shapeId="0" xr:uid="{1FD3A31C-8E8D-4D99-84D0-ED9CE82ACDB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8" authorId="0" shapeId="0" xr:uid="{AB731767-A46B-4FAB-840E-9C13FB8B8C2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8" authorId="0" shapeId="0" xr:uid="{F81C2D14-3F56-4DD4-BFE4-C7AEF016FA9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9" authorId="0" shapeId="0" xr:uid="{8E93A5CA-710C-4E0C-B808-AAD6DD97D16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9" authorId="0" shapeId="0" xr:uid="{70209538-49FB-4745-BD3F-B39B29CEBB6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0" authorId="0" shapeId="0" xr:uid="{2C7B3A43-7D02-4584-A467-FEE191D37A8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0" authorId="0" shapeId="0" xr:uid="{AC06D8DE-6666-47A7-83C8-12201D295B6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1" authorId="0" shapeId="0" xr:uid="{FB947390-F542-4603-89F9-0CFECFBC7AE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1" authorId="0" shapeId="0" xr:uid="{6572C838-C94E-4FDF-ACD7-27F9B951647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2" authorId="0" shapeId="0" xr:uid="{693E6A8C-6750-45EB-989F-490AA9B1E1F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2" authorId="0" shapeId="0" xr:uid="{D0AC16CD-36AB-4054-B1A1-4B0B89B527A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3" authorId="0" shapeId="0" xr:uid="{EC314994-75A2-4544-9A24-B9C09F2ED5D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3" authorId="0" shapeId="0" xr:uid="{E96ACC12-5178-470F-8535-D3E1CADAA35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4" authorId="0" shapeId="0" xr:uid="{9A16198E-732B-4936-AED5-9E22A7F59A9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4" authorId="0" shapeId="0" xr:uid="{E40D75C7-176D-4108-861C-B28414AF65D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5" authorId="0" shapeId="0" xr:uid="{2F37072C-6E19-4691-9802-D903CFE33CE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5" authorId="0" shapeId="0" xr:uid="{7525C4EA-2A4F-4888-A86E-16FA3CD7876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6" authorId="0" shapeId="0" xr:uid="{C1040B51-C46C-42A3-B4FE-4B83A0B36FC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6" authorId="0" shapeId="0" xr:uid="{6F0CB77C-C188-4C8E-A389-DCDD2C52D9B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7" authorId="0" shapeId="0" xr:uid="{9F40FD8A-28A8-49C3-8573-8ECD2F7F184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7" authorId="0" shapeId="0" xr:uid="{FF90062A-58CF-487C-B60B-F0C903A75E7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8" authorId="0" shapeId="0" xr:uid="{07C086BA-AF3E-411B-AA27-7823AC56F41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8" authorId="0" shapeId="0" xr:uid="{16A3ECA8-7820-4746-8758-31EB6D41FEA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6" authorId="0" shapeId="0" xr:uid="{01B5524B-F0B5-40C7-9F1A-44403638335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6" authorId="0" shapeId="0" xr:uid="{C258AA09-32F0-47B8-B372-E6B036C5E4B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7" authorId="0" shapeId="0" xr:uid="{8CAB6739-7167-4EBF-BE75-2B8CD05F882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7" authorId="0" shapeId="0" xr:uid="{9F8EEE4C-B4F6-4BBD-9257-CB6F5C5E030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8" authorId="0" shapeId="0" xr:uid="{B915F134-3E31-4D70-A5E5-4BB0B8B9045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8" authorId="0" shapeId="0" xr:uid="{1DF7C6EB-4D6E-49DC-B449-3A80936D845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9" authorId="0" shapeId="0" xr:uid="{FE31E973-F6B2-4F0D-9C0C-D14E18BA5FB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9" authorId="0" shapeId="0" xr:uid="{55CAE887-0558-4160-BB96-1E2CE0FA05C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0" authorId="0" shapeId="0" xr:uid="{3A7C310A-C3A8-4BD4-94CA-1E49B474CE9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0" authorId="0" shapeId="0" xr:uid="{EB50B5FB-5FCA-4FB4-8F5F-D71FA0D9E3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1" authorId="0" shapeId="0" xr:uid="{0D3E3F48-AC84-4A7E-A80A-DD89CC8F2BE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1" authorId="0" shapeId="0" xr:uid="{FD402FE7-6D82-4E78-881D-75D121A44E0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2" authorId="0" shapeId="0" xr:uid="{DFE4D0BD-9F1E-4A02-81A6-BB57CDFC7B2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2" authorId="0" shapeId="0" xr:uid="{711CDF68-DDE2-455D-8C73-E455ACB4E4F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3" authorId="0" shapeId="0" xr:uid="{4E868B1F-C402-4B03-933A-607F7F26946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3" authorId="0" shapeId="0" xr:uid="{32C3A18C-1DAC-48FD-BA20-A96E974C3F8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4" authorId="0" shapeId="0" xr:uid="{CDC1DCA6-44D0-47C5-9958-C3BA951046D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4" authorId="0" shapeId="0" xr:uid="{9A3A5EDE-D8D3-48B9-B392-CAD96B6A2FF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5" authorId="0" shapeId="0" xr:uid="{51D10CC8-5FA8-417A-8328-B438D509511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5" authorId="0" shapeId="0" xr:uid="{971B0FBB-3AC5-467E-9C4D-A49CA103269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6" authorId="0" shapeId="0" xr:uid="{32002F0D-06CD-4FB0-B1A1-A0E036BBCBF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6" authorId="0" shapeId="0" xr:uid="{DBE980A1-8A00-4583-8294-85CD5708CFE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7" authorId="0" shapeId="0" xr:uid="{BB9ED6FD-96CF-471F-8205-70DAB863542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7" authorId="0" shapeId="0" xr:uid="{FA26DB68-7A16-405B-B20C-27B810355D9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8" authorId="0" shapeId="0" xr:uid="{BF031354-422D-4E63-B4B0-9A728E3706E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8" authorId="0" shapeId="0" xr:uid="{106E9903-1329-4C3F-9759-5750871747E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9" authorId="0" shapeId="0" xr:uid="{492A59A7-669E-4EC5-A18B-5C0D01D1F89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9" authorId="0" shapeId="0" xr:uid="{A8995816-73D9-4E10-A598-EC788D3DC62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0" authorId="0" shapeId="0" xr:uid="{72E40DBE-77DB-4A35-937D-6DBA334F015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0" authorId="0" shapeId="0" xr:uid="{896CA976-0BD7-4BB9-8E2A-97DA9127CBC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1" authorId="0" shapeId="0" xr:uid="{D4029E4C-539B-48ED-92C7-F046C4BF329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1" authorId="0" shapeId="0" xr:uid="{6287F994-3B29-4C11-B270-5F7DB664440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2" authorId="0" shapeId="0" xr:uid="{FBD44497-58D1-4D0D-B5BF-B65B5893952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2" authorId="0" shapeId="0" xr:uid="{A37B0F0A-799E-4DF8-A4D7-BBF4D724146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3" authorId="0" shapeId="0" xr:uid="{B7E531A0-5286-4A3F-9D61-C2A3C284905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3" authorId="0" shapeId="0" xr:uid="{2FA69023-66E7-4C7E-8852-BF31F5B2ADC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4" authorId="0" shapeId="0" xr:uid="{D22AED12-61FD-43DA-8313-1A1ABA90575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4" authorId="0" shapeId="0" xr:uid="{A3DA0479-7C65-4AA6-B11B-68565357486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5" authorId="0" shapeId="0" xr:uid="{FB1371F2-1D02-4DB2-8DA8-EAB2EFD5D24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5" authorId="0" shapeId="0" xr:uid="{D7ACDFE5-D40A-40A4-80D2-6D2B3AF9E23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6" authorId="0" shapeId="0" xr:uid="{B1CECEC9-CA1C-4060-A01F-141D5B34877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6" authorId="0" shapeId="0" xr:uid="{75E35F6B-0B73-4537-BAD9-D633C632170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7" authorId="0" shapeId="0" xr:uid="{7553FE86-F341-4654-966C-1B3C24B136B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7" authorId="0" shapeId="0" xr:uid="{82BADD4D-1F9F-46A4-A696-EBC82F7425A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8" authorId="0" shapeId="0" xr:uid="{56992575-D062-4B3D-A210-ECBA313BA35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58" authorId="0" shapeId="0" xr:uid="{42B88D0A-5DAC-4E06-828C-2EA95487D7F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9" authorId="0" shapeId="0" xr:uid="{74A7E316-FF9A-474D-AE56-FE8EF471BA1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69" authorId="0" shapeId="0" xr:uid="{48384458-2B92-4C2E-9DDF-272A22E3AB2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0" authorId="0" shapeId="0" xr:uid="{EAA0E379-B49E-4BEC-98A6-E9EE388C805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0" authorId="0" shapeId="0" xr:uid="{FEDE5485-9BE8-47D5-859E-E75661B6D75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1" authorId="0" shapeId="0" xr:uid="{2AB0A8B4-29AF-4A30-BC08-A003F66A154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1" authorId="0" shapeId="0" xr:uid="{42D77A92-35AC-4A76-9D94-D8BDDCF9F62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2" authorId="0" shapeId="0" xr:uid="{3AEF29EC-8CC9-49B8-8D87-502BAF641A8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2" authorId="0" shapeId="0" xr:uid="{84BFA581-DA14-4DD7-A06E-A610D06FC74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3" authorId="0" shapeId="0" xr:uid="{C0CABB42-BE05-4C4B-9061-CC5AA76419C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3" authorId="0" shapeId="0" xr:uid="{8B21F12F-AE9E-4302-A304-8BF04F7ABC3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4" authorId="0" shapeId="0" xr:uid="{65CCCC9F-4F43-4AA5-9660-52FB78FB051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4" authorId="0" shapeId="0" xr:uid="{C33A59AA-61F1-469E-861E-63BB4166C61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5" authorId="0" shapeId="0" xr:uid="{2E7C530F-F749-4134-925D-22960FEECB6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5" authorId="0" shapeId="0" xr:uid="{CDF47DFC-A43B-41F9-B5D1-04B29BE7F4C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6" authorId="0" shapeId="0" xr:uid="{AD361311-08B2-44D8-BB3C-B6A116BB546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6" authorId="0" shapeId="0" xr:uid="{C8EC8979-072F-48F4-9208-2E01A95488B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7" authorId="0" shapeId="0" xr:uid="{326C788B-1084-4269-96B3-E21FB395896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7" authorId="0" shapeId="0" xr:uid="{75F96E9A-B384-4A99-91FE-AF65F0DCCEB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8" authorId="0" shapeId="0" xr:uid="{5990D4E4-2A2F-4B6B-8E09-F307A66EE25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8" authorId="0" shapeId="0" xr:uid="{8A3E57B5-92C7-4908-92D9-36EBDFDB321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9" authorId="0" shapeId="0" xr:uid="{BF9E0316-31FE-4EB3-A631-B660AA8365F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9" authorId="0" shapeId="0" xr:uid="{4AC1D0DC-D30B-4669-A74F-E81314ABEB8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0" authorId="0" shapeId="0" xr:uid="{4A21AAEF-5E02-4BA5-A66E-78D03B1A9C8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0" authorId="0" shapeId="0" xr:uid="{976413C3-BC4E-4B7C-890F-A4575366A40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1" authorId="0" shapeId="0" xr:uid="{F7126AF9-6303-401B-9F68-51CC06883C0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1" authorId="0" shapeId="0" xr:uid="{C12EA132-4D9D-4865-AA0A-8FE7659DCB2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2" authorId="0" shapeId="0" xr:uid="{8B14F38B-D66A-472C-BC88-4B84F875D64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2" authorId="0" shapeId="0" xr:uid="{8D80362E-339E-4062-8F05-39EA10E2E45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3" authorId="0" shapeId="0" xr:uid="{7DF5EE63-05DF-4BFF-86D7-00FB91067F0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3" authorId="0" shapeId="0" xr:uid="{50785505-6CD4-456B-85EF-F8B70CDA700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4" authorId="0" shapeId="0" xr:uid="{8766A48A-1725-4BF4-BC1B-A421B65F04F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4" authorId="0" shapeId="0" xr:uid="{CD3DE7CE-288E-42CB-B6CC-AF238247C4B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5" authorId="0" shapeId="0" xr:uid="{A9668AAB-737C-42A7-9D14-9B8A9E79C29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5" authorId="0" shapeId="0" xr:uid="{04D22997-9503-4CC7-94EA-2DFB9D692A6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6" authorId="0" shapeId="0" xr:uid="{67AB03F3-2E03-4297-9540-829C916FA79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6" authorId="0" shapeId="0" xr:uid="{E19B0CB1-C082-489C-95FC-A14C1DE8EE3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7" authorId="0" shapeId="0" xr:uid="{2A3AE315-B37A-4E9F-BC44-548C8BAA09C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7" authorId="0" shapeId="0" xr:uid="{7B24EFDD-965D-4213-8FC7-A83FDEE24D7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8" authorId="0" shapeId="0" xr:uid="{AB7619CD-0608-474D-95CC-5928035EB1A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8" authorId="0" shapeId="0" xr:uid="{64CC9A34-31D4-41E0-B46A-868E8A5B4FE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9" authorId="0" shapeId="0" xr:uid="{87A414FF-9C6F-4CBB-ACFF-6FB717372F5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9" authorId="0" shapeId="0" xr:uid="{7335C77E-858D-4CE4-A5A2-733FCDF5761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0" authorId="0" shapeId="0" xr:uid="{D799CBED-A3CC-4F85-ADB9-3DBB1ABFDCD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90" authorId="0" shapeId="0" xr:uid="{D1B1B239-F882-422F-A069-5E57B4DB855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1" authorId="0" shapeId="0" xr:uid="{3B3D27CA-8C3D-4F77-A012-00AC2D4093F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91" authorId="0" shapeId="0" xr:uid="{308E4D3A-38E0-4E01-9B95-DB97AF15141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2" authorId="0" shapeId="0" xr:uid="{B9D87AF3-72BF-4A14-946B-759E2C52D47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92" authorId="0" shapeId="0" xr:uid="{0761578A-A50E-4166-8871-F3A4D399630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1" authorId="0" shapeId="0" xr:uid="{1B592646-9DE7-4E2E-8EB9-FBA3E629E0D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2" authorId="0" shapeId="0" xr:uid="{95ECE685-DF2D-4BD5-BDB9-511F150993E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3" authorId="0" shapeId="0" xr:uid="{E8D1D566-E64D-4171-8219-18BDC9E7494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4" authorId="0" shapeId="0" xr:uid="{6A34F0EF-BDAD-44F4-84EA-D8D30E55EE4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5" authorId="0" shapeId="0" xr:uid="{1275BCE7-2A7D-46C7-8CF2-349ED1F50BC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05" authorId="0" shapeId="0" xr:uid="{D3090DC6-159A-4D7D-9C12-D66B8D7CC59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6" authorId="0" shapeId="0" xr:uid="{B4234EDD-52A2-451F-969B-DE734011CCF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06" authorId="0" shapeId="0" xr:uid="{0F437D72-2177-46DC-B2E8-9C2E9E2EC90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7" authorId="0" shapeId="0" xr:uid="{53803C13-C8BD-42A2-9D1C-D01CACB7763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07" authorId="0" shapeId="0" xr:uid="{30123E14-DA0A-4EA8-86A6-13105925482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8" authorId="0" shapeId="0" xr:uid="{F33C2D64-42A9-4298-92E1-5CD090DF186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08" authorId="0" shapeId="0" xr:uid="{4E854BDD-BB8F-4C1D-BBBE-3FABA3AC8CB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9" authorId="0" shapeId="0" xr:uid="{0135334C-8919-426F-9332-0BFAFED8B2B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09" authorId="0" shapeId="0" xr:uid="{C6A5414D-BF7F-4E80-9084-FCB02E0F54A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0" authorId="0" shapeId="0" xr:uid="{511BEA3F-808B-457E-8A74-267382E8519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0" authorId="0" shapeId="0" xr:uid="{2E61640F-6EF1-4ADC-8001-0A3A103B760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1" authorId="0" shapeId="0" xr:uid="{9F845BDB-5943-49DC-BBE2-AD5B970D220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1" authorId="0" shapeId="0" xr:uid="{78199018-3921-4445-B356-3056CC412C7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2" authorId="0" shapeId="0" xr:uid="{0D5AC84F-A9A9-41B8-8A49-87D105C24F3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2" authorId="0" shapeId="0" xr:uid="{8E514E7C-978D-4933-A676-790CE540630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3" authorId="0" shapeId="0" xr:uid="{0E6736BC-EF99-456E-B64A-1BBE1A9A366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3" authorId="0" shapeId="0" xr:uid="{3622762E-794E-4FFA-AD3C-032F851BCF3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4" authorId="0" shapeId="0" xr:uid="{7E6CB629-1487-4DF7-9BB6-388365BE557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4" authorId="0" shapeId="0" xr:uid="{449CB594-C289-4A3B-B8DD-9A0DEB08F88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5" authorId="0" shapeId="0" xr:uid="{86B8E43D-A935-4445-BB15-95B7F55F03B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5" authorId="0" shapeId="0" xr:uid="{FDC7B2C5-5A8E-4E18-B45D-665DE5AE98F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6" authorId="0" shapeId="0" xr:uid="{0F906B91-BAA7-4F5C-BD39-89478B98324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6" authorId="0" shapeId="0" xr:uid="{68B31399-7FD3-4C72-BAF6-D32DE15B68B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7" authorId="0" shapeId="0" xr:uid="{D07CC921-C59F-4267-A20B-B889CFA6B2C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7" authorId="0" shapeId="0" xr:uid="{C05B29B0-E7C0-4937-81BC-C1396DFB403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8" authorId="0" shapeId="0" xr:uid="{49A2FEF0-8541-4F03-8A4F-C2412109F94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8" authorId="0" shapeId="0" xr:uid="{CF910973-E8AC-44DE-9DD8-380BA055258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9" authorId="0" shapeId="0" xr:uid="{EA45EF75-2AAD-4559-8671-757C128B274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9" authorId="0" shapeId="0" xr:uid="{1854C116-A67B-434D-8158-3AD2D086677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0" authorId="0" shapeId="0" xr:uid="{D7A9B865-013B-4F8F-99C1-68B4C9D9F79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0" authorId="0" shapeId="0" xr:uid="{B71BE1E8-A3DF-4E88-9F8C-109C55E3FCD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1" authorId="0" shapeId="0" xr:uid="{562E95E1-64EA-4482-A6D1-8C21BC08F3D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1" authorId="0" shapeId="0" xr:uid="{9320CC32-F870-43E9-A2F8-4B93A5464EA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2" authorId="0" shapeId="0" xr:uid="{FAD4030E-58CD-42B0-B61A-747BB2C012B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2" authorId="0" shapeId="0" xr:uid="{E2C122A5-2480-4939-867F-6742F7F830A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3" authorId="0" shapeId="0" xr:uid="{3DFF2CEA-1B0D-4B07-8960-7DB7615BB9D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3" authorId="0" shapeId="0" xr:uid="{46AFA84F-5682-4851-A8C7-F34FB0DAFE5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4" authorId="0" shapeId="0" xr:uid="{0A70187D-18EC-47CA-8C36-3FE12626832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4" authorId="0" shapeId="0" xr:uid="{FAA95239-A892-4AD4-88C7-018A9B4F12E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5" authorId="0" shapeId="0" xr:uid="{88ADB785-712D-45ED-88BA-99A4D4A6E21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5" authorId="0" shapeId="0" xr:uid="{DD19C42B-7BB1-4EC5-A956-DF0AA54A692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4" authorId="0" shapeId="0" xr:uid="{433D7CF8-C377-4F55-BD0D-0DB69CBD201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4" authorId="0" shapeId="0" xr:uid="{C3E1984B-7013-4898-9C1D-18BAF89AA1C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5" authorId="0" shapeId="0" xr:uid="{89A6DC49-0307-4E97-BBA8-62428634A9B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5" authorId="0" shapeId="0" xr:uid="{83F155F8-5B76-4424-9A8A-BEA964D6727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6" authorId="0" shapeId="0" xr:uid="{642212E8-8837-495C-B773-7E4EC31BA55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6" authorId="0" shapeId="0" xr:uid="{D7170022-6EB1-4CCF-9199-15B9F507A51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7" authorId="0" shapeId="0" xr:uid="{3373B51C-6F7D-4136-9FD4-4198BD0DC34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7" authorId="0" shapeId="0" xr:uid="{486655CE-916A-448A-8373-D08EA89303D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8" authorId="0" shapeId="0" xr:uid="{ED4C950F-214E-413B-A37B-1F31BEB4C0D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8" authorId="0" shapeId="0" xr:uid="{BA5B68A9-B424-4338-BE1D-5D178AB6185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9" authorId="0" shapeId="0" xr:uid="{30557EF8-91AB-4A07-817F-6FB7DEA7B20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9" authorId="0" shapeId="0" xr:uid="{CBC1E5F8-EA04-4DD5-B7B7-231E4295F4F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0" authorId="0" shapeId="0" xr:uid="{1E97DBF5-4774-4D37-9BE3-6DAF9CD56BD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0" authorId="0" shapeId="0" xr:uid="{091F8DE5-E73A-4D71-B9D6-301F8E7E012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1" authorId="0" shapeId="0" xr:uid="{4495D76B-2F1C-4E9F-9097-A1C0492D0B9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1" authorId="0" shapeId="0" xr:uid="{5CF89CCE-E0C3-4DC3-9C17-15BF4BBFAC5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2" authorId="0" shapeId="0" xr:uid="{3F8EBBB6-4D26-43A3-B731-29B7E2E3B66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2" authorId="0" shapeId="0" xr:uid="{64B2C4F3-3E44-4665-8A10-DBCE2910471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3" authorId="0" shapeId="0" xr:uid="{948B8926-9F7C-44B3-80AC-D8FCC7DC075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3" authorId="0" shapeId="0" xr:uid="{391AFE2E-08F8-4FEB-9292-6E9DC0B5CAF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4" authorId="0" shapeId="0" xr:uid="{8813A98E-20D4-4ACC-8FF8-0184D8A5B9E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4" authorId="0" shapeId="0" xr:uid="{D2E41599-B8C6-43F0-9048-01507225FCC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5" authorId="0" shapeId="0" xr:uid="{3448445B-6C41-41AE-8ABA-8ACDCEE2F45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5" authorId="0" shapeId="0" xr:uid="{18753541-22C2-443A-8BE4-738EEDDBE43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6" authorId="0" shapeId="0" xr:uid="{4C27573D-C9FD-4632-A7E3-32AE863763D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6" authorId="0" shapeId="0" xr:uid="{3ED40477-E85D-4A01-82DA-841A8E193B4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7" authorId="0" shapeId="0" xr:uid="{2AAEF00D-19A9-4283-9A53-9F271B72F34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7" authorId="0" shapeId="0" xr:uid="{41AA174D-1EB6-4578-B9F3-D25EB9CD63D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8" authorId="0" shapeId="0" xr:uid="{1BB2B4E4-9880-4550-B329-6461D0B5E74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8" authorId="0" shapeId="0" xr:uid="{CA433DBC-040B-45CA-9DAF-DD3BA188A22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9" authorId="0" shapeId="0" xr:uid="{C7AAB09F-A1F5-4AF6-9F0D-705D720E877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9" authorId="0" shapeId="0" xr:uid="{6018F240-3017-4AA2-B3EE-1E5559546D9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0" authorId="0" shapeId="0" xr:uid="{AB2A3525-0D71-448C-8F8F-77DBD2563A3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0" authorId="0" shapeId="0" xr:uid="{6470CBC9-9631-4861-93FC-B6DF5047793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1" authorId="0" shapeId="0" xr:uid="{F6D2DCFB-13B1-42D8-99EB-6681B179BDD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1" authorId="0" shapeId="0" xr:uid="{FC53D68E-3F83-4B30-AB30-FECE22AE64F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2" authorId="0" shapeId="0" xr:uid="{3FA52F3B-0773-42B4-9AF2-72EDC15CEA4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2" authorId="0" shapeId="0" xr:uid="{69CEE9A8-BE6A-4DA0-8063-00A1F22C806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3" authorId="0" shapeId="0" xr:uid="{2D370AFE-71B9-450B-B909-1A34A66CCB4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3" authorId="0" shapeId="0" xr:uid="{5A544636-873D-4655-804A-270DD8A2AC0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4" authorId="0" shapeId="0" xr:uid="{B908BB8F-2FD9-4D66-B7FF-AADA15F4DE5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4" authorId="0" shapeId="0" xr:uid="{D79788D4-DD32-4681-8525-ECD32967ED1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5" authorId="0" shapeId="0" xr:uid="{A273A53F-2680-45D3-B782-D91E95D6B19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5" authorId="0" shapeId="0" xr:uid="{F4E3019D-B59A-4107-8032-BE2A4288CE8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6" authorId="0" shapeId="0" xr:uid="{FF40CC2C-B81F-420C-A728-2B51C7C6AF6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6" authorId="0" shapeId="0" xr:uid="{11F99A30-2125-4396-8357-434C9C0B7EE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7" authorId="0" shapeId="0" xr:uid="{EFBC9696-D266-46C9-A290-6715C9E943E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7" authorId="0" shapeId="0" xr:uid="{57B363CE-4C02-48C1-929A-B6937581184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8" authorId="0" shapeId="0" xr:uid="{82F27B3C-FC4B-4598-833C-C1043C2ED22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8" authorId="0" shapeId="0" xr:uid="{439BB309-2820-4FD9-ADE1-045623927DE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Sydney A.</author>
  </authors>
  <commentList>
    <comment ref="A6" authorId="0" shapeId="0" xr:uid="{BD739E98-656B-4BC4-8DC2-93E3F624E30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6" authorId="0" shapeId="0" xr:uid="{87337D84-3FC7-47AE-B6F5-CAE95AE3131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" authorId="0" shapeId="0" xr:uid="{606A93C2-34CB-45A0-9AA5-F3041D6A5AC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7" authorId="0" shapeId="0" xr:uid="{120FBE43-E983-4FA3-A151-7271E7F545B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" authorId="0" shapeId="0" xr:uid="{23FD6C91-4266-435B-90A4-D1404A9AC46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8" authorId="0" shapeId="0" xr:uid="{EDB8CB9C-6F9F-4BC1-A090-966C32A56AE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" authorId="0" shapeId="0" xr:uid="{DC90E001-46EA-462C-A42D-8ED1478820B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9" authorId="0" shapeId="0" xr:uid="{23DEECFC-D4E7-486D-8C01-75105BF0238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" authorId="0" shapeId="0" xr:uid="{99E45ED4-C888-4153-B233-C68A65AC28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0" authorId="0" shapeId="0" xr:uid="{FC137CF2-7628-49BD-8FF2-69212F90916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" authorId="0" shapeId="0" xr:uid="{7D97B24C-7E7A-4728-9DBA-7D462437D22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1" authorId="0" shapeId="0" xr:uid="{DE7FF654-3CB8-4D26-8EE8-598DA84B164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" authorId="0" shapeId="0" xr:uid="{57B16343-2621-4FE7-90E6-C4D31E64E40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2" authorId="0" shapeId="0" xr:uid="{8EF3492C-5C49-427B-B454-1DC2324C492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" authorId="0" shapeId="0" xr:uid="{3D74AC9D-387C-467F-A50A-8C95A4D3B84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3" authorId="0" shapeId="0" xr:uid="{66E6905D-4CCD-4F09-B116-A2D993C8F7E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" authorId="0" shapeId="0" xr:uid="{BA7E66C0-FA17-4AC8-B9FB-1E88EB713C5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4" authorId="0" shapeId="0" xr:uid="{0E29BEE8-3394-4247-9D00-C809AF9D242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" authorId="0" shapeId="0" xr:uid="{4CA8F5AA-5A16-4119-9823-48F0D2849BA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5" authorId="0" shapeId="0" xr:uid="{6DD18C93-2D22-4217-A9E2-7461C85016C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6" authorId="0" shapeId="0" xr:uid="{08238316-F033-4FE3-9092-9C44CC9905D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6" authorId="0" shapeId="0" xr:uid="{2EB14DFE-8FB6-4B91-8FCA-A251CE7AC3C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7" authorId="0" shapeId="0" xr:uid="{E5BC9FB6-4262-4ECC-AA20-031B23FE046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7" authorId="0" shapeId="0" xr:uid="{85110620-7BAE-46C5-A5E0-D9AAD3FC83D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8" authorId="0" shapeId="0" xr:uid="{78B98DB3-38D8-4EC4-9136-D1CAB653B0E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18" authorId="0" shapeId="0" xr:uid="{4C52B086-93C5-4F2B-9F39-A1663376F66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6" authorId="0" shapeId="0" xr:uid="{2D94FBFC-A03B-4AE2-9A5E-2AB3DAD727A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6" authorId="0" shapeId="0" xr:uid="{F8A0240F-E9E3-4AEC-B909-53C06BAB130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7" authorId="0" shapeId="0" xr:uid="{2D184772-5767-4A99-8272-E5E6D9309B4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7" authorId="0" shapeId="0" xr:uid="{F0DA3229-0D97-4300-9B5D-7501ED46640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8" authorId="0" shapeId="0" xr:uid="{22CA7673-61EA-40AF-A7A8-282F4E9534C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8" authorId="0" shapeId="0" xr:uid="{2F24E690-9B83-4961-9A04-AE7124949D0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9" authorId="0" shapeId="0" xr:uid="{765C1589-58C9-47E4-B79E-38FC4D36200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29" authorId="0" shapeId="0" xr:uid="{79E56D79-38F4-4D0E-B8E4-59B7DF95468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0" authorId="0" shapeId="0" xr:uid="{54054850-5600-4D64-9C07-62B3C3890D0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0" authorId="0" shapeId="0" xr:uid="{A023DE6D-73AF-4ED2-AB7A-36393F813C6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1" authorId="0" shapeId="0" xr:uid="{BF9CB063-750B-4C17-965F-EF5FAD9372E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1" authorId="0" shapeId="0" xr:uid="{2632C8D4-C159-4236-97DD-77F171477F6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2" authorId="0" shapeId="0" xr:uid="{B5628C39-FFC5-455C-B635-76F86906A69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2" authorId="0" shapeId="0" xr:uid="{763CED1A-AE48-44BD-A9D9-301DDBAF9D4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3" authorId="0" shapeId="0" xr:uid="{0A3C6078-3902-4DA0-B967-B7B38345C7D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3" authorId="0" shapeId="0" xr:uid="{FC65B3A6-E5B1-4445-9B0E-F198D03D52C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4" authorId="0" shapeId="0" xr:uid="{8CC0378C-D2EC-4AD1-A62D-55A376971DE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4" authorId="0" shapeId="0" xr:uid="{62A2CD8C-2A4E-41B9-AFF3-9DA39862B4D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5" authorId="0" shapeId="0" xr:uid="{51430413-10C3-479D-B798-D1D9B839DBB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5" authorId="0" shapeId="0" xr:uid="{CF8238E6-332E-45B2-86AF-B0642DB4F28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6" authorId="0" shapeId="0" xr:uid="{5F2FA6E1-7DFD-488F-8BBA-2996832052F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6" authorId="0" shapeId="0" xr:uid="{4AC69079-584A-4754-8CCB-7FF6EFFFA6F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7" authorId="0" shapeId="0" xr:uid="{F01F2AEF-6C74-4A11-A720-586D30B8D0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7" authorId="0" shapeId="0" xr:uid="{B7BCC52C-ABD6-4CA0-8086-75A3D853950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8" authorId="0" shapeId="0" xr:uid="{E34485E5-1609-4195-AC71-CDBC2ED88C4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8" authorId="0" shapeId="0" xr:uid="{924831A2-7494-4AC2-B4B0-BE47B1E2499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9" authorId="0" shapeId="0" xr:uid="{A82F1BBB-FC0C-418B-AA10-30CEB79E9D7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39" authorId="0" shapeId="0" xr:uid="{5FF15ABE-6460-4D90-8DE3-2FA4DED5508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0" authorId="0" shapeId="0" xr:uid="{20C8EA2D-A6BA-49D5-9EB0-374BA590A1B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0" authorId="0" shapeId="0" xr:uid="{1CA1D3E9-FB00-43E7-9F9C-C9D831A8F5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1" authorId="0" shapeId="0" xr:uid="{F91940AF-713A-491A-9226-043209652F2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1" authorId="0" shapeId="0" xr:uid="{622483D4-45E2-4AB0-9A05-8C242BEACB3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2" authorId="0" shapeId="0" xr:uid="{B8F87530-C2ED-44DE-A2D3-50A93965C70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2" authorId="0" shapeId="0" xr:uid="{79511B1F-EE37-4BB8-B73E-E46BB0E3A50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3" authorId="0" shapeId="0" xr:uid="{103D363C-D930-47E8-B1B9-D3999FDB065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3" authorId="0" shapeId="0" xr:uid="{AE8D95FC-27B1-41C3-B889-C0C59B67F82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4" authorId="0" shapeId="0" xr:uid="{BD2745CE-823F-434B-924A-DA632268A80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4" authorId="0" shapeId="0" xr:uid="{5DD18D8E-4F1D-445D-B270-772926CE715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5" authorId="0" shapeId="0" xr:uid="{C80357E4-2984-4B94-BF89-2DB6ECD971A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I45" authorId="0" shapeId="0" xr:uid="{15B40AB3-2D09-420E-B43C-823E07F2656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4" authorId="0" shapeId="0" xr:uid="{DCF5EBEE-3338-4B0C-9BB6-0A3DFC248C6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5" authorId="0" shapeId="0" xr:uid="{1E5095C9-2E49-4065-95FA-4DAF08301D4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6" authorId="0" shapeId="0" xr:uid="{DAE175C3-3E04-4A0E-9569-7BAA303E986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7" authorId="0" shapeId="0" xr:uid="{B2F142F4-89A2-44ED-836D-817450225B4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8" authorId="0" shapeId="0" xr:uid="{2D803130-558B-4176-9506-189B584F776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9" authorId="0" shapeId="0" xr:uid="{5BBEF359-A98A-4E28-BBAD-C9EA8341628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0" authorId="0" shapeId="0" xr:uid="{8E2C38A5-9177-4103-8FD2-6E5D660413C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1" authorId="0" shapeId="0" xr:uid="{A6141A82-D827-4F0F-A21C-8C0C43EAF77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2" authorId="0" shapeId="0" xr:uid="{0CF87000-0C76-4CF7-94EF-EF82325FE0C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3" authorId="0" shapeId="0" xr:uid="{BEFFA7F7-3D5D-4B8E-B1DB-A5CD1C69737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4" authorId="0" shapeId="0" xr:uid="{74300ADD-9D56-4B4F-9F3F-B4D5B07F71A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5" authorId="0" shapeId="0" xr:uid="{B6C643CD-237B-48A4-BC13-3BE2AF1D9F8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6" authorId="0" shapeId="0" xr:uid="{C67B09DC-74D9-4B48-8CDE-B3791D1739B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7" authorId="0" shapeId="0" xr:uid="{4A380826-DDB8-4D76-BB9A-57FFDDC909A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8" authorId="0" shapeId="0" xr:uid="{A50579FE-096E-49CA-9AD3-515BC0E8A35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9" authorId="0" shapeId="0" xr:uid="{124F618D-463A-42E4-B721-3AAB60CE069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0" authorId="0" shapeId="0" xr:uid="{143C8F2C-E6ED-415E-9796-54CE457FEF4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1" authorId="0" shapeId="0" xr:uid="{B59E5AED-0771-46BD-B71B-04164F52062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2" authorId="0" shapeId="0" xr:uid="{D6CC071A-D231-40C8-91CD-B28C06AB24C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3" authorId="0" shapeId="0" xr:uid="{F814E6A0-173E-450D-9706-4C8DF36DC44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Sydney A.</author>
  </authors>
  <commentList>
    <comment ref="A3" authorId="0" shapeId="0" xr:uid="{758699EB-7FDF-4886-AA93-09F57691181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" authorId="0" shapeId="0" xr:uid="{EA7C7E10-539D-4AD4-9C72-826E94318CB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" authorId="0" shapeId="0" xr:uid="{1F0A03E3-FD1D-4961-91CE-D3A5C7C4CFC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" authorId="0" shapeId="0" xr:uid="{EB675B27-584F-43D0-92E4-1C70EEACD93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" authorId="0" shapeId="0" xr:uid="{B6175F0B-9529-4AE6-8A21-775571D5736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" authorId="0" shapeId="0" xr:uid="{4AA6A3BC-E174-484B-A571-6C187E97706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" authorId="0" shapeId="0" xr:uid="{63A3B231-AA76-43A2-AF4F-EE418212CB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" authorId="0" shapeId="0" xr:uid="{6527AC7B-3BC3-4587-967B-C36E99A5BAA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" authorId="0" shapeId="0" xr:uid="{A0F215E8-FABA-4048-AB1C-181CE32201B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" authorId="0" shapeId="0" xr:uid="{57ADC4DF-BF4F-493E-8FEA-B8174A603CB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3" authorId="0" shapeId="0" xr:uid="{D3807515-AB96-46B5-A448-E54CC131AC9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4" authorId="0" shapeId="0" xr:uid="{D10E9F12-01B8-42A4-A412-5228256A40E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5" authorId="0" shapeId="0" xr:uid="{071CD1E0-B716-463B-B861-A1E91874C6E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6" authorId="0" shapeId="0" xr:uid="{F2B6A552-7A22-4C58-8A40-83A9B52F543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7" authorId="0" shapeId="0" xr:uid="{0866A287-D33D-41E9-9264-E47511CB37F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8" authorId="0" shapeId="0" xr:uid="{4FEBC2E5-F3B8-4CEA-B6A3-A461374EB8C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9" authorId="0" shapeId="0" xr:uid="{EBB265BF-2600-4521-840E-5D553F8474C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0" authorId="0" shapeId="0" xr:uid="{DF580E63-9141-4223-8BD7-7CE7A19664C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8" authorId="0" shapeId="0" xr:uid="{731EFBFF-F5D2-4F3D-9C15-38EC15B4F51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29" authorId="0" shapeId="0" xr:uid="{110497CB-1873-49D2-8622-9BB6FBD98C2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0" authorId="0" shapeId="0" xr:uid="{3115293B-2576-4D42-BBFC-2C02F0668AF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1" authorId="0" shapeId="0" xr:uid="{1476049B-4B21-48C8-B99A-DC1B4F9D7DB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2" authorId="0" shapeId="0" xr:uid="{03B732CB-C1CB-41F6-98E0-ADE78246A9E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3" authorId="0" shapeId="0" xr:uid="{C5871FF6-0457-4683-BCAF-6B16DAD4BEA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4" authorId="0" shapeId="0" xr:uid="{889AA106-1A11-4042-A16A-4C51C049C6D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5" authorId="0" shapeId="0" xr:uid="{3D2C3FC5-19FB-4534-8D1D-B1717FAC79A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6" authorId="0" shapeId="0" xr:uid="{8138E474-E9DD-47DE-BE33-0D8B2C81590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7" authorId="0" shapeId="0" xr:uid="{22DED1DB-9DB7-46C4-9D50-949BF96A100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8" authorId="0" shapeId="0" xr:uid="{56CA8241-6053-44FA-B56D-A32468E20C5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39" authorId="0" shapeId="0" xr:uid="{7B8B10BC-F1EB-4C01-A2D7-2993B353323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0" authorId="0" shapeId="0" xr:uid="{60EB94CD-2FAF-46CA-A03C-112751C35C1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1" authorId="0" shapeId="0" xr:uid="{4CC37A14-5FE8-495D-9EE5-5F8AF87D61D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2" authorId="0" shapeId="0" xr:uid="{01B6541B-812E-45B9-8BC8-42D4ADDC5D1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3" authorId="0" shapeId="0" xr:uid="{ECC2FDED-E30A-4CA6-B27A-9946DE14B8B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4" authorId="0" shapeId="0" xr:uid="{17BCAEED-7173-449A-BA0D-2E1A9826093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5" authorId="0" shapeId="0" xr:uid="{03ABEC33-DBBC-4B39-9D65-DAD1113AEF6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6" authorId="0" shapeId="0" xr:uid="{22426BD5-AF3A-4792-88AB-072A1BDB20F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7" authorId="0" shapeId="0" xr:uid="{A9F67762-0A84-48D4-BDF2-D9027F37936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48" authorId="0" shapeId="0" xr:uid="{44EAE512-5499-4A9D-94A6-07EDBBC5C9C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3" authorId="0" shapeId="0" xr:uid="{45D39939-3CD1-4D1A-B0C3-54EAA27C572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4" authorId="0" shapeId="0" xr:uid="{8473D111-FDB0-4ED4-941D-ABD40ED37AE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5" authorId="0" shapeId="0" xr:uid="{64F12EE2-D00A-4DC4-923F-75098D7562F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6" authorId="0" shapeId="0" xr:uid="{CFDA9E28-C31C-4E7A-B96D-0C698412F95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7" authorId="0" shapeId="0" xr:uid="{820CB991-101F-4082-A66E-7F328919E67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8" authorId="0" shapeId="0" xr:uid="{212F1806-101C-478E-9A19-EB7870AE224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59" authorId="0" shapeId="0" xr:uid="{583605A6-9823-45FA-AB70-C8F65675C3E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0" authorId="0" shapeId="0" xr:uid="{77B43318-947C-46BF-A95B-0499E5F5E4C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1" authorId="0" shapeId="0" xr:uid="{63714962-1510-44AE-B662-5C189050695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2" authorId="0" shapeId="0" xr:uid="{6FE227FE-38AA-4A6E-AF9E-100B1551B33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3" authorId="0" shapeId="0" xr:uid="{7F9A8619-8C96-4142-BFCB-88DAB25EF84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4" authorId="0" shapeId="0" xr:uid="{3AD4BDD6-3F14-4A08-A797-1BACF639B49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5" authorId="0" shapeId="0" xr:uid="{3B3C433E-2A6B-4A44-9258-C7B68707F90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6" authorId="0" shapeId="0" xr:uid="{B11DA2F5-EEE2-4EE5-A26D-59E8CA1D367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7" authorId="0" shapeId="0" xr:uid="{76C3BAC9-D21A-48BE-A3B6-FFE41D6946F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8" authorId="0" shapeId="0" xr:uid="{C1C87510-D120-4255-AFE6-9EF19BA50C8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69" authorId="0" shapeId="0" xr:uid="{690416F1-5A94-4468-A608-CC01D9AA2B6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0" authorId="0" shapeId="0" xr:uid="{F9CB42DA-48B6-4DE5-9018-B3394BD7FCC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1" authorId="0" shapeId="0" xr:uid="{39FF99E9-42BB-45F1-90E2-1ADA1D93EE1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2" authorId="0" shapeId="0" xr:uid="{4999BBD7-65D6-4AF7-8861-3BF5ECF5001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3" authorId="0" shapeId="0" xr:uid="{E7EA54DD-E0DB-4E88-BE36-000AB0F71DF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8" authorId="0" shapeId="0" xr:uid="{C40C020F-D4AF-472D-A202-E16969B0838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79" authorId="0" shapeId="0" xr:uid="{CEC58B3C-F4DC-434F-B57B-BB94BFAEB54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0" authorId="0" shapeId="0" xr:uid="{8CC11A73-66E5-434B-8A93-5A3C18B883A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1" authorId="0" shapeId="0" xr:uid="{CE83F479-0649-4872-B0E3-140526C57B5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2" authorId="0" shapeId="0" xr:uid="{10F40C0E-F55E-4A6D-B05F-106E62E9339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3" authorId="0" shapeId="0" xr:uid="{AFA5C91D-60BA-46A0-8246-2595AA0B837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4" authorId="0" shapeId="0" xr:uid="{3F45E162-98E9-4C00-A3F3-1C5BD6F3618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5" authorId="0" shapeId="0" xr:uid="{13E2C3FA-1F77-48D6-BDA4-1C7FF1D15F9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6" authorId="0" shapeId="0" xr:uid="{0ED5334C-CFBB-415E-8D31-50A3CFDE365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7" authorId="0" shapeId="0" xr:uid="{C130984F-65EA-4B38-A734-04B1155A2F5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8" authorId="0" shapeId="0" xr:uid="{A9969528-7B8A-4944-B638-4698992EDDD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89" authorId="0" shapeId="0" xr:uid="{29F0FA70-CA65-40B6-9722-16DE5F6D5ED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0" authorId="0" shapeId="0" xr:uid="{9EFC2EE2-7BDE-44B5-8F78-6632B2F9B567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1" authorId="0" shapeId="0" xr:uid="{136A362D-18D2-42E4-8CFD-1ACEB2B0BAB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2" authorId="0" shapeId="0" xr:uid="{641BBD88-55B1-47BA-A5A1-4009DEFD6C3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3" authorId="0" shapeId="0" xr:uid="{B8616E06-77D9-4C3F-8775-9C3D409DBD7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4" authorId="0" shapeId="0" xr:uid="{7B089E85-F651-438A-A336-A5091A02D3D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5" authorId="0" shapeId="0" xr:uid="{2E0F3F3A-4E5B-4C98-87CE-7B8292CE28CC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6" authorId="0" shapeId="0" xr:uid="{9E48B925-3874-4197-96E7-DA471AD9027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7" authorId="0" shapeId="0" xr:uid="{4981D17E-4F73-456C-9F10-252EBBF2964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98" authorId="0" shapeId="0" xr:uid="{5CA0A77F-E321-47B5-9A00-209741DD1FA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3" authorId="0" shapeId="0" xr:uid="{85E4D389-BDCF-41AD-B9A3-B3DB35AC929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4" authorId="0" shapeId="0" xr:uid="{6AA147E8-FCCE-4058-B269-9EF5F3CD860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5" authorId="0" shapeId="0" xr:uid="{59565C08-CC35-49B1-9EC1-6929CD89BF05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6" authorId="0" shapeId="0" xr:uid="{E121B38E-19A8-467D-99B3-AC23A6ED610A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7" authorId="0" shapeId="0" xr:uid="{4FD7A4E6-B40E-4F5F-9BD3-2C2D7F90018D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8" authorId="0" shapeId="0" xr:uid="{6E5D9EF9-3B1C-419B-A210-1DF46E3C3E7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09" authorId="0" shapeId="0" xr:uid="{81777A2E-A717-40CE-9AFA-7160674FF424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0" authorId="0" shapeId="0" xr:uid="{E27C38CE-B3AC-49B5-8B98-B1220B69C95F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1" authorId="0" shapeId="0" xr:uid="{4E7E0E89-F2BF-401F-87CB-6C4DCBBF6CF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2" authorId="0" shapeId="0" xr:uid="{66D852BB-4C2B-419E-B361-4E37AAE3C698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3" authorId="0" shapeId="0" xr:uid="{33877913-3C50-4DDB-BD54-66A8B55E0F36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4" authorId="0" shapeId="0" xr:uid="{563AB18C-72CF-47C4-B255-B81FF5C947B1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5" authorId="0" shapeId="0" xr:uid="{E4590A61-BA1B-4796-9321-8A494DB87299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6" authorId="0" shapeId="0" xr:uid="{2C04231E-B5A6-4ECC-A875-511A73B53612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7" authorId="0" shapeId="0" xr:uid="{105998E5-8EB6-43CC-B899-1F053E5DE92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8" authorId="0" shapeId="0" xr:uid="{05CF5A96-9A38-4863-A4FC-7D86E8DA6DF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19" authorId="0" shapeId="0" xr:uid="{592BCD05-8F86-4EC0-96B9-4A1B318E7F73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0" authorId="0" shapeId="0" xr:uid="{467497AF-6C35-476B-B1D0-7C02C52A1F1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1" authorId="0" shapeId="0" xr:uid="{01FB351A-EBB2-49BC-AE00-ED40C825D28E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2" authorId="0" shapeId="0" xr:uid="{3FC0C9ED-0DC2-4CB5-96F1-599583A2E31B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  <comment ref="A123" authorId="0" shapeId="0" xr:uid="{733BA52B-3EB6-4A7A-8038-D8C85C3C8D70}">
      <text>
        <r>
          <rPr>
            <b/>
            <sz val="9"/>
            <color indexed="81"/>
            <rFont val="Tahoma"/>
            <family val="2"/>
          </rPr>
          <t>Sydney A.: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Do not delete this row.</t>
        </r>
      </text>
    </comment>
  </commentList>
</comments>
</file>

<file path=xl/sharedStrings.xml><?xml version="1.0" encoding="utf-8"?>
<sst xmlns="http://schemas.openxmlformats.org/spreadsheetml/2006/main" count="3075" uniqueCount="1386">
  <si>
    <t>BRANCH :</t>
  </si>
  <si>
    <t>RIDER DELIVERY SUMMARY</t>
  </si>
  <si>
    <t>RIDER NAME (1-4)</t>
  </si>
  <si>
    <t>PRODUCT AMOUNT</t>
  </si>
  <si>
    <t>DEL FEE</t>
  </si>
  <si>
    <t>SUBTOTAL</t>
  </si>
  <si>
    <t>INCENTIVES</t>
  </si>
  <si>
    <t>TOTAL</t>
  </si>
  <si>
    <t>REMARKS</t>
  </si>
  <si>
    <t>JAIME</t>
  </si>
  <si>
    <t>SALES Breakdown (CASH)</t>
  </si>
  <si>
    <t>Number of products</t>
  </si>
  <si>
    <t>Walk in</t>
  </si>
  <si>
    <t>Walk-in:</t>
  </si>
  <si>
    <t>Delivery</t>
  </si>
  <si>
    <t>Delivery:</t>
  </si>
  <si>
    <t xml:space="preserve">Franchise </t>
  </si>
  <si>
    <t>Franchise:</t>
  </si>
  <si>
    <t xml:space="preserve">Prothin Dealer </t>
  </si>
  <si>
    <t>Prothin Dealers:</t>
  </si>
  <si>
    <t>Delivery Fee</t>
  </si>
  <si>
    <t>Shipping:</t>
  </si>
  <si>
    <t xml:space="preserve">SUBTOTAL </t>
  </si>
  <si>
    <t>Apparels:</t>
  </si>
  <si>
    <t>Equipment:</t>
  </si>
  <si>
    <t>MONEY BREAKDOWN</t>
  </si>
  <si>
    <t>EXPENSES</t>
  </si>
  <si>
    <t>X</t>
  </si>
  <si>
    <t>NAME</t>
  </si>
  <si>
    <t>PARTICULAR/S</t>
  </si>
  <si>
    <t>AMOUNT</t>
  </si>
  <si>
    <t>Credit Card (Walk In)</t>
  </si>
  <si>
    <t>Rent</t>
  </si>
  <si>
    <t>Credit Card (Delivery)</t>
  </si>
  <si>
    <t>Meralco</t>
  </si>
  <si>
    <t>Walk in (Online)</t>
  </si>
  <si>
    <t>Delivery Fee (Online)</t>
  </si>
  <si>
    <t>Walk in (Online) - Franchise</t>
  </si>
  <si>
    <t>Delivery Fee (Credit Card)</t>
  </si>
  <si>
    <t xml:space="preserve">Water Bills </t>
  </si>
  <si>
    <t>Walk in (Online) - Prothin Dealer</t>
  </si>
  <si>
    <t>Franchise (Online)</t>
  </si>
  <si>
    <t>Delivery (Online)</t>
  </si>
  <si>
    <t>Prothin Dealer (Online)</t>
  </si>
  <si>
    <t>Delivery (Online) - Franchise</t>
  </si>
  <si>
    <t xml:space="preserve">Shipping Fee </t>
  </si>
  <si>
    <t>Delivery (Online) Prothin Dealer</t>
  </si>
  <si>
    <t>Shipping (LBC/LALAMOVE)</t>
  </si>
  <si>
    <t>Shipping - Franchise</t>
  </si>
  <si>
    <t>check payment</t>
  </si>
  <si>
    <t>Shipping - Prothin Dealer</t>
  </si>
  <si>
    <t xml:space="preserve">OTHERS: </t>
  </si>
  <si>
    <t>TOTAL ONLINE, CC &amp; SHIPPING</t>
  </si>
  <si>
    <t>RIDER/DRIVER EXPENSE</t>
  </si>
  <si>
    <t>TOTAL WALK IN                       :</t>
  </si>
  <si>
    <t>(CASH,CC, AND ONLINE)</t>
  </si>
  <si>
    <t>TOTAL DELIVERY                      :</t>
  </si>
  <si>
    <t>TOTAL SHIPPING                     :</t>
  </si>
  <si>
    <t>TOTAL FRANCHISE                   :</t>
  </si>
  <si>
    <t>TOTAL OTHER EXP:</t>
  </si>
  <si>
    <t>(CASH AND ONLINE)</t>
  </si>
  <si>
    <t>TOTAL PROTHIN DEALER        :</t>
  </si>
  <si>
    <t>TOTAL RIDER/DRIVER EXPENSE</t>
  </si>
  <si>
    <t>NOTES:</t>
  </si>
  <si>
    <t>FREEBIES</t>
  </si>
  <si>
    <t>Riders/Drivers (Incentive)</t>
  </si>
  <si>
    <t xml:space="preserve">………………... </t>
  </si>
  <si>
    <t>SHIPPING EXPENSE</t>
  </si>
  <si>
    <t>ORDERS</t>
  </si>
  <si>
    <t>MARKETING</t>
  </si>
  <si>
    <t>Riders/Drivers (Expense)</t>
  </si>
  <si>
    <t>Shipping Expense (TOTAL)</t>
  </si>
  <si>
    <t>MAJOR EXPENSES</t>
  </si>
  <si>
    <t>OTHER EXPENSES</t>
  </si>
  <si>
    <t>SUMMARY  (for bank deposit)</t>
  </si>
  <si>
    <t xml:space="preserve">        </t>
  </si>
  <si>
    <t xml:space="preserve">CASH </t>
  </si>
  <si>
    <t>less</t>
  </si>
  <si>
    <t>TOTAL CASH DEPOSIT:</t>
  </si>
  <si>
    <t>OVERALL SALES:</t>
  </si>
  <si>
    <t>TOTAL PRODUCTS (WALK IN)</t>
  </si>
  <si>
    <t>TOTAL PRODUCTS (DELIVERY)</t>
  </si>
  <si>
    <t>TOTAL PRODUCTS (SHIPPING)</t>
  </si>
  <si>
    <t>TOTAL APPARELS:</t>
  </si>
  <si>
    <t>TOTAL EQUIPMENT:</t>
  </si>
  <si>
    <t>PREPARED BY :</t>
  </si>
  <si>
    <t>TOTAL FRANCHISE</t>
  </si>
  <si>
    <t>TOTAL PROTHIN DEALER</t>
  </si>
  <si>
    <t>WALK IN (CASH)</t>
  </si>
  <si>
    <t>WALK IN (ONLINE)</t>
  </si>
  <si>
    <t>DAILY PRODUCT</t>
  </si>
  <si>
    <t>DATE:</t>
  </si>
  <si>
    <t>BRANCH:</t>
  </si>
  <si>
    <t>DR#</t>
  </si>
  <si>
    <t>QTY</t>
  </si>
  <si>
    <t>WALK IN (FRANCHISE CASH)</t>
  </si>
  <si>
    <t>WALK IN (FRANCHISE ONLINE)</t>
  </si>
  <si>
    <t>WALK IN (PROTHIN DEALER CASH)</t>
  </si>
  <si>
    <t>WALK IN (PROTHIN ONLINE)</t>
  </si>
  <si>
    <t>DELIVERY (CASH)</t>
  </si>
  <si>
    <t>DELIVERY (ONLINE)</t>
  </si>
  <si>
    <t>RIDER 1:</t>
  </si>
  <si>
    <t>TOTAL AMOUNT</t>
  </si>
  <si>
    <t>RIDER 2:</t>
  </si>
  <si>
    <t>DELIVERY (FRANCHISE CASH)</t>
  </si>
  <si>
    <t>DELIVERY (FRANCHISE ONLINE)</t>
  </si>
  <si>
    <t>DELIVERY (PROTHIN DEALER CASH)</t>
  </si>
  <si>
    <t>DELIVERY (PROTHIN DEALER ONLINE)</t>
  </si>
  <si>
    <t>CREDIT CARD REPORT (WALK-IN)</t>
  </si>
  <si>
    <t>CUSTOMER NAME</t>
  </si>
  <si>
    <t>ITEM PURCHASED</t>
  </si>
  <si>
    <t>MID #</t>
  </si>
  <si>
    <t>SLIP #</t>
  </si>
  <si>
    <t xml:space="preserve">APR CODE </t>
  </si>
  <si>
    <t>BATCH #</t>
  </si>
  <si>
    <t>CREDIT CARD REPORT (DELIVERY RIDER 2)</t>
  </si>
  <si>
    <t>CREDIT CARD REPORT (DELIVERY RIDER 3)</t>
  </si>
  <si>
    <t>SHIPPING</t>
  </si>
  <si>
    <t>(LBC/LALAMOVE)</t>
  </si>
  <si>
    <t>(SHOPEE/LAZADA)</t>
  </si>
  <si>
    <t>SF</t>
  </si>
  <si>
    <t>SHIP EXP</t>
  </si>
  <si>
    <t>OR INC</t>
  </si>
  <si>
    <t>CHARGES</t>
  </si>
  <si>
    <t>RECEIPT TRACKER</t>
  </si>
  <si>
    <t xml:space="preserve">. </t>
  </si>
  <si>
    <t>(MUST  PRESENT ALL ORIGINAL YELLOW COPIES)</t>
  </si>
  <si>
    <t>*ERASURES IN DR NOT ALLOWED*</t>
  </si>
  <si>
    <t>TRANSACTION TYPE</t>
  </si>
  <si>
    <t>Name and Signature/Date</t>
  </si>
  <si>
    <t>DR#/ SI #</t>
  </si>
  <si>
    <t>DF</t>
  </si>
  <si>
    <t xml:space="preserve">Load for Store CP </t>
  </si>
  <si>
    <t xml:space="preserve"> </t>
  </si>
  <si>
    <t>DR/SI #</t>
  </si>
  <si>
    <t xml:space="preserve">GWS PLASTIC XL </t>
  </si>
  <si>
    <t xml:space="preserve">Internet (Globe or Royal cab) </t>
  </si>
  <si>
    <t>ITEMS</t>
  </si>
  <si>
    <t>INCENTIVES ETC.</t>
  </si>
  <si>
    <t>NAME :</t>
  </si>
  <si>
    <t>ABONO LALAMOVE</t>
  </si>
  <si>
    <t>BRANCH</t>
  </si>
  <si>
    <t>CASH</t>
  </si>
  <si>
    <t>AR / PDC</t>
  </si>
  <si>
    <t>ONLINE</t>
  </si>
  <si>
    <t>CREDIT CARD</t>
  </si>
  <si>
    <t>( FRANCHISE )</t>
  </si>
  <si>
    <t>( PROTHIN DEALER )</t>
  </si>
  <si>
    <t>DR#/SI#</t>
  </si>
  <si>
    <t>SYSTEM DATE:</t>
  </si>
  <si>
    <t>Shipping (Shopee/Lazada)</t>
  </si>
  <si>
    <t>Total:</t>
  </si>
  <si>
    <t>PWR 60's Choco / Free PT Short (3pcs)</t>
  </si>
  <si>
    <t>INVENTORY
ITEMS</t>
  </si>
  <si>
    <t>(Note: Don't rename after encoding &amp; posting)</t>
  </si>
  <si>
    <t>PRODUCT NAME</t>
  </si>
  <si>
    <t>Prothin Lipothin 60 Caps.</t>
  </si>
  <si>
    <t>Prothin Multivitamins 30 Gummies</t>
  </si>
  <si>
    <t>Prothin Pre-Game 30 Sachets</t>
  </si>
  <si>
    <t>Prothin Brew</t>
  </si>
  <si>
    <t>Prothin Creatine 60s</t>
  </si>
  <si>
    <t>Prothin Isolate 10s</t>
  </si>
  <si>
    <t xml:space="preserve">Prothin Isolate 60s </t>
  </si>
  <si>
    <t xml:space="preserve">Prothin Mass Gainer 27s </t>
  </si>
  <si>
    <t>Prothin Mass Gainer 54s</t>
  </si>
  <si>
    <t>Prothin Whey Ripped 10s (Choco)</t>
  </si>
  <si>
    <t>Prothin Whey Ripped 10s (Matcha)</t>
  </si>
  <si>
    <t>Prothin Whey Ripped 10s (Taro)</t>
  </si>
  <si>
    <t>Prothin Whey Ripped 10s (Vanilla)</t>
  </si>
  <si>
    <t>Prothin Whey Ripped 151s (Choco)</t>
  </si>
  <si>
    <t>Prothin Whey Ripped 60s (Choco)</t>
  </si>
  <si>
    <t>Prothin Whey Ripped 60s (Matcha)</t>
  </si>
  <si>
    <t>Prothin Whey Ripped 60s (Taro)</t>
  </si>
  <si>
    <t>Prothin Whey Ripped 60s (Vanilla)</t>
  </si>
  <si>
    <t xml:space="preserve">Probeta Nutrition </t>
  </si>
  <si>
    <t>Probeta Creatine 30 Servings</t>
  </si>
  <si>
    <t xml:space="preserve">Probeta Whey Concentrate 10s </t>
  </si>
  <si>
    <t xml:space="preserve">Probeta Whey Concentrate 60s </t>
  </si>
  <si>
    <t xml:space="preserve">Core Champs </t>
  </si>
  <si>
    <t>Core Champs Amin0 6000 300 Tablets</t>
  </si>
  <si>
    <t>Core Champs Citrulline 2000mg 150 Servings</t>
  </si>
  <si>
    <t>Core Champs CLA 1000mg 120 softgels</t>
  </si>
  <si>
    <t>Core Champs Collagen w/ Hyaluronic Acid &amp; Vit C 28 Servings</t>
  </si>
  <si>
    <t>Core Champs Creatine Monohydrate Powder 300g</t>
  </si>
  <si>
    <t>Core Champs EAA (Essential Amino Acid) 30 Servings</t>
  </si>
  <si>
    <t>Core Champs Glutamine Powder 50 Servings</t>
  </si>
  <si>
    <t xml:space="preserve">Core Champs Heavyweight Gainer High Density 7lbs </t>
  </si>
  <si>
    <t xml:space="preserve">Core Champs High Calorie Mass Gainer 15lbs </t>
  </si>
  <si>
    <t xml:space="preserve">Core Champs High Calorie Mass Gainer 6lbs </t>
  </si>
  <si>
    <t>Core Champs Joint Support 90 Tablets</t>
  </si>
  <si>
    <t>Core Champs L-Arginine 1000mg 120 Tablets</t>
  </si>
  <si>
    <t>Core Champs L-Carnitine Liquid 3000mg 32 Servings</t>
  </si>
  <si>
    <t>Core Champs Multivitamins 120 Tablets</t>
  </si>
  <si>
    <t xml:space="preserve">Core Champs Omega-3 Fish Oil 120 Softgels 120 Servings </t>
  </si>
  <si>
    <t xml:space="preserve">Core Champs Pro Matrix Ultra Premium Protein 5lbs </t>
  </si>
  <si>
    <t>Core Champs RDX Pre Workout 30 Servings</t>
  </si>
  <si>
    <t>CORE CHAMPS RDX Xtreme Intense Energy Pre-Workout</t>
  </si>
  <si>
    <t>Core Champs Shred &amp; Burn Fat Burner 60 Capsules</t>
  </si>
  <si>
    <t>Core Champs Testrogen Testosterone Booster 60 Tablets</t>
  </si>
  <si>
    <t>Core Champs Tribulus 750mg 90 Capsules</t>
  </si>
  <si>
    <t xml:space="preserve">Core Champs Ultimate Mass Gainer - 2:1 Carb to Protein 6lbs </t>
  </si>
  <si>
    <t xml:space="preserve">Core Champs Vitargo Carbohydrate Fuel 4lbs </t>
  </si>
  <si>
    <t xml:space="preserve">Core Champs Whey Isolate 100% 4.4lbs </t>
  </si>
  <si>
    <t xml:space="preserve">Core Champs Whey Protein 5lbs </t>
  </si>
  <si>
    <t>Core Champs ZMB 90 Capsules</t>
  </si>
  <si>
    <t>Core Champs Ashwagandha 60 capsule</t>
  </si>
  <si>
    <t>Core Champs BCAA 3000mg 200 tabs</t>
  </si>
  <si>
    <t>Core Champs Beef Aminos 300 tabs</t>
  </si>
  <si>
    <t>Core Champs BCAA Powder 7000mg 30 servings</t>
  </si>
  <si>
    <t>Core Champs Beta Alanine 100 servings</t>
  </si>
  <si>
    <t>Core Champs Test Freak Booster 60 capsule</t>
  </si>
  <si>
    <t>Core Champs Yohimbine HCL 120 capsule</t>
  </si>
  <si>
    <t>Core Champs L- Carnitine 1000mg - 90 tablets</t>
  </si>
  <si>
    <t>Core Champs Liver Support 60 capsule</t>
  </si>
  <si>
    <t>MUSCLETECH</t>
  </si>
  <si>
    <t>Muscletech  Six Star Casein 2lbs</t>
  </si>
  <si>
    <t>Muscletech  Alpha Test 120 Caps.</t>
  </si>
  <si>
    <t>Muscletech  Amino Build Next Gen 263g 40 Serv.</t>
  </si>
  <si>
    <t xml:space="preserve">Muscletech  Celltech 3lbs </t>
  </si>
  <si>
    <t xml:space="preserve">Muscletech  Celltech 6lbs </t>
  </si>
  <si>
    <t>Muscletech  Celltech Elite 20 Servings</t>
  </si>
  <si>
    <t>Muscletech  Celltech Hyperbuild</t>
  </si>
  <si>
    <t xml:space="preserve">Muscletech  Collagen 1.35lbs </t>
  </si>
  <si>
    <t>Muscletech  Purely Inspired Collagen 20 serv</t>
  </si>
  <si>
    <t>Muscletech  Creactor 120 Servings</t>
  </si>
  <si>
    <t>Muscletech  Essential Multivitamins</t>
  </si>
  <si>
    <t>Muscletech  Hydroxycut Elite 100 Caps.</t>
  </si>
  <si>
    <t>Muscletech  Hydroxycut Elite 180 Caps.</t>
  </si>
  <si>
    <t>Muscletech  Hydroxycut Super Elite 120 Caps</t>
  </si>
  <si>
    <t xml:space="preserve">Muscletech  Masstech 12lbs </t>
  </si>
  <si>
    <t xml:space="preserve">Muscletech  Masstech 20lbs </t>
  </si>
  <si>
    <t xml:space="preserve">Muscletech  Masstech extreme 6lbs </t>
  </si>
  <si>
    <t xml:space="preserve">Muscletech  Masstech Elite 6lbs </t>
  </si>
  <si>
    <t>Muscletech  Neurocore</t>
  </si>
  <si>
    <t xml:space="preserve">Muscletech  Nitrotech 10lbs </t>
  </si>
  <si>
    <t xml:space="preserve">Muscletech  Nitrotech 2lbs </t>
  </si>
  <si>
    <t xml:space="preserve">Muscletech  Nitrotech 4lbs </t>
  </si>
  <si>
    <t>Muscletech  Nitrotech Casein Gold 5lbs</t>
  </si>
  <si>
    <t xml:space="preserve">Muscletech  Nitrotech Gold 2.5lbs </t>
  </si>
  <si>
    <t xml:space="preserve">Muscletech  Nitrotech Gold 5lbs </t>
  </si>
  <si>
    <t xml:space="preserve">Muscletech  Nitrotech Gold 8lbs </t>
  </si>
  <si>
    <t xml:space="preserve">Muscletech  Nitrotech Ripped 2lbs </t>
  </si>
  <si>
    <t xml:space="preserve">Muscletech  Nitrotech Ripped 4lbs </t>
  </si>
  <si>
    <t>Muscletech  Phase 8 (8-hour protein)</t>
  </si>
  <si>
    <t>Muscletech  Platinum BCAA 200 Caps.</t>
  </si>
  <si>
    <t>Muscletech  Platinum Carnitine</t>
  </si>
  <si>
    <t xml:space="preserve">Muscletech Platinum Creatine .89lbs </t>
  </si>
  <si>
    <t>Muscletech Platinum Creatine 120 Caps.</t>
  </si>
  <si>
    <t>Muscletech Platinum Fish Oil 100 Caps.</t>
  </si>
  <si>
    <t xml:space="preserve">Muscletech Platinum Glutamine </t>
  </si>
  <si>
    <t>Muscletech Platinum Pure CLA</t>
  </si>
  <si>
    <t xml:space="preserve">Muscletech Premium Mass Gainer 12lbs </t>
  </si>
  <si>
    <t xml:space="preserve">Muscletech Premium Mass Gainer 18.5lbs </t>
  </si>
  <si>
    <t>Muscletech Premium Mass Gainer 20lbs</t>
  </si>
  <si>
    <t xml:space="preserve">Muscletech Pro Series 5lbs </t>
  </si>
  <si>
    <t>Muscletech Six Star Creatine 60s</t>
  </si>
  <si>
    <t>Muscletech Six Star Test Booster</t>
  </si>
  <si>
    <t xml:space="preserve">Muscletech Six Star Whey 2lbs </t>
  </si>
  <si>
    <t>Muscletech Test HD thermogenic 90 Caps.</t>
  </si>
  <si>
    <t>Muscletech Vapor X5</t>
  </si>
  <si>
    <t>Muscletech Vapor X5 Ripped</t>
  </si>
  <si>
    <t>Muscletech Masstech 20lbs (NEW STOCK)</t>
  </si>
  <si>
    <t>Muscletech Iso Whey 100&amp; 2lbs</t>
  </si>
  <si>
    <t>Muscletech Iso Whey 100&amp; 5lbs</t>
  </si>
  <si>
    <t>Muscletech Iso Whey Clear 1.1lb</t>
  </si>
  <si>
    <t>Muscletech Creatine Chews 90tabs</t>
  </si>
  <si>
    <t>Muscletech Euphoriq 20serv</t>
  </si>
  <si>
    <t>PROSUPPS</t>
  </si>
  <si>
    <t>Prosupps Hyde Pre Workout</t>
  </si>
  <si>
    <t>MUSCLE PHARM</t>
  </si>
  <si>
    <t>Muscle Pharm Assault Sport</t>
  </si>
  <si>
    <t xml:space="preserve">Muscle Pharm Combat 4lbs </t>
  </si>
  <si>
    <t>OPTIMUM NUTRITION</t>
  </si>
  <si>
    <t>ON Amino 2222 160 Tabs.</t>
  </si>
  <si>
    <t>ON Amino 2222 320 Tabs.</t>
  </si>
  <si>
    <t>ON BCAA 200 Caps.</t>
  </si>
  <si>
    <t>ON BCAA 400 Caps.</t>
  </si>
  <si>
    <t>ON BCAA 60 Caps.</t>
  </si>
  <si>
    <t xml:space="preserve">ON Casein 2lbs </t>
  </si>
  <si>
    <t xml:space="preserve">ON Casein 4lbs </t>
  </si>
  <si>
    <t>ON Creatine 150g</t>
  </si>
  <si>
    <t xml:space="preserve">ON Creatine 2500 100 Caps. </t>
  </si>
  <si>
    <t>ON Creatine 2500 200 Caps.</t>
  </si>
  <si>
    <t>ON Creatine 2500 300 Caps</t>
  </si>
  <si>
    <t>ON Creatine Powder 300g</t>
  </si>
  <si>
    <t>ON Creatine Powder 600g</t>
  </si>
  <si>
    <t>ON Essential Amino Energy 30 Servings</t>
  </si>
  <si>
    <t>ON Essential Amino Energy 30 Servings + Electrolytes</t>
  </si>
  <si>
    <t>ON Fishoil 100 Softgels</t>
  </si>
  <si>
    <t>ON Fishoil 200 Softgels</t>
  </si>
  <si>
    <t>ON Gold Standard BCAA Boost</t>
  </si>
  <si>
    <t xml:space="preserve">ON Gold Standard Isolate 2lbs </t>
  </si>
  <si>
    <t xml:space="preserve">ON Gold Standard Isolate 5lbs </t>
  </si>
  <si>
    <t>ON Gold Standard Pre Workout</t>
  </si>
  <si>
    <t xml:space="preserve">ON Gold Standard Whey 10lbs </t>
  </si>
  <si>
    <t>ON Gold Standard Whey 1lb</t>
  </si>
  <si>
    <t xml:space="preserve">ON Gold Standard Whey 2lbs </t>
  </si>
  <si>
    <t>ON Gold Standard Whey 5.5lbs</t>
  </si>
  <si>
    <t>ON Gold Standard Whey 5lbs</t>
  </si>
  <si>
    <t>ON Optimen 150 Caps.</t>
  </si>
  <si>
    <t>ON Optimen 240 Caps</t>
  </si>
  <si>
    <t>ON Optiwomen 120 caps</t>
  </si>
  <si>
    <t>ON Optiwomen 60 caps</t>
  </si>
  <si>
    <t>ON Plant Based 1.59lbs  (tub)</t>
  </si>
  <si>
    <t xml:space="preserve">ON Plant Based Protein 1.06 lbs </t>
  </si>
  <si>
    <t xml:space="preserve">ON Platinum Hydro Whey 1.8bs </t>
  </si>
  <si>
    <t xml:space="preserve">ON Platinum Hydro Whey 3.5lbs </t>
  </si>
  <si>
    <t xml:space="preserve">ON Pro Gainer 10lbs </t>
  </si>
  <si>
    <t xml:space="preserve">ON Serious Mass 12lbs </t>
  </si>
  <si>
    <t xml:space="preserve">ON Serious Mass 6lbs </t>
  </si>
  <si>
    <t>ON Zinc Magnesium 180 Caps.</t>
  </si>
  <si>
    <t>ON Zinc Magnesium 90 Caps.</t>
  </si>
  <si>
    <t>ON Creatine Powder Flavored 360g</t>
  </si>
  <si>
    <t>MUTANT</t>
  </si>
  <si>
    <t>Mutant Creakong CX8 30 Servings</t>
  </si>
  <si>
    <t>Mutant Creakong 75 Servings</t>
  </si>
  <si>
    <t>Mutant Kill Switch</t>
  </si>
  <si>
    <t xml:space="preserve">Mutant Amino 300 Tabs </t>
  </si>
  <si>
    <t>Mutant Amino 600 Tabs</t>
  </si>
  <si>
    <t>Mutant BCAA 200 Caps</t>
  </si>
  <si>
    <t>Mutant BCAA 30 Servings</t>
  </si>
  <si>
    <t>Mutant BCAA 400 Caps.</t>
  </si>
  <si>
    <t>Mutant BCAA 90 Servings</t>
  </si>
  <si>
    <t xml:space="preserve">Mutant Carnitine </t>
  </si>
  <si>
    <t>Mutant Flex</t>
  </si>
  <si>
    <t>Mutant Glutamine</t>
  </si>
  <si>
    <t>Mutant Madness All In</t>
  </si>
  <si>
    <t>Mutant Madness 30 servings</t>
  </si>
  <si>
    <t xml:space="preserve">Mutant Mass 12lbs </t>
  </si>
  <si>
    <t xml:space="preserve">Mutant Mass 15lbs </t>
  </si>
  <si>
    <t>Mutant Mass 20lbs</t>
  </si>
  <si>
    <t xml:space="preserve">Mutant Mass 5lbs </t>
  </si>
  <si>
    <t xml:space="preserve">Mutant Mass 6lbs </t>
  </si>
  <si>
    <t>Mutant Mass 7lbs EXTREME</t>
  </si>
  <si>
    <t>Mutant Mass Extreme 2lbs</t>
  </si>
  <si>
    <t>Mutant Multi 60 Tabs.</t>
  </si>
  <si>
    <t>Mutant Test</t>
  </si>
  <si>
    <t xml:space="preserve">Mutant Whey 10lbs  </t>
  </si>
  <si>
    <t xml:space="preserve">Mutant Whey 2lbs </t>
  </si>
  <si>
    <t xml:space="preserve">Mutant Whey 5lbs </t>
  </si>
  <si>
    <t>Mutant Pro All New 5lbs</t>
  </si>
  <si>
    <t>Mutant Iso Surge 1.6lbs</t>
  </si>
  <si>
    <t>Mutant Iso Surge 5lbs</t>
  </si>
  <si>
    <t>Mutant Hardcore Iso 1.6lbs</t>
  </si>
  <si>
    <t>Mutant Hardcore Iso 5lbs</t>
  </si>
  <si>
    <t>Mutant Hardcore Whey 5lbs</t>
  </si>
  <si>
    <t>Mutant Gear 30 servings</t>
  </si>
  <si>
    <t>Mutant 100% Pure Creatine 60 servings</t>
  </si>
  <si>
    <t>Mutant Creatine BYTZ 80 Tabs</t>
  </si>
  <si>
    <t>Mutant whey DUAL 4LBS</t>
  </si>
  <si>
    <t>Mutant Caffeine 240tabs</t>
  </si>
  <si>
    <t>PROMATRIX</t>
  </si>
  <si>
    <t xml:space="preserve">Promatrix 2lbs </t>
  </si>
  <si>
    <t xml:space="preserve">Promatrix 5lbs </t>
  </si>
  <si>
    <t xml:space="preserve">Promatrix Mass 11lbs </t>
  </si>
  <si>
    <t xml:space="preserve">Promatrix Mass 6lbs </t>
  </si>
  <si>
    <t>RULE 1</t>
  </si>
  <si>
    <t xml:space="preserve">Rule 1 BCAA 30 Servings </t>
  </si>
  <si>
    <t xml:space="preserve">Rule 1 BCAA 60 Servings </t>
  </si>
  <si>
    <t xml:space="preserve">Rule 1 Blend 10lbs </t>
  </si>
  <si>
    <t xml:space="preserve">Rule 1 Blend 2lbs </t>
  </si>
  <si>
    <t xml:space="preserve">Rule 1 Blend 5lbs </t>
  </si>
  <si>
    <t xml:space="preserve">Rule 1 Casein 4lbs </t>
  </si>
  <si>
    <t>Rule 1 Charged Creatine 30s</t>
  </si>
  <si>
    <t xml:space="preserve">Rule 1 Clean Gainer 10lbs </t>
  </si>
  <si>
    <t>Rule 1 Collagen Peptides</t>
  </si>
  <si>
    <t>Rule 1 Creatine 150 Serv</t>
  </si>
  <si>
    <t>Rule 1 Creatine 30 Serv</t>
  </si>
  <si>
    <t>Rule 1 Creatine 75 Serv</t>
  </si>
  <si>
    <t>Rule 1 Creatine 130 Serv</t>
  </si>
  <si>
    <t xml:space="preserve">Rule 1 Gain 10lbs </t>
  </si>
  <si>
    <t xml:space="preserve">Rule 1 Gain 5lbs </t>
  </si>
  <si>
    <t>Rule 1 Glutamine 150 Servings</t>
  </si>
  <si>
    <t>Rule 1 Glutamine 75 Servings</t>
  </si>
  <si>
    <t xml:space="preserve">Rule 1 Isolate 10lbs </t>
  </si>
  <si>
    <t xml:space="preserve">Rule 1 Isolate 2lbs </t>
  </si>
  <si>
    <t xml:space="preserve">Rule 1 Isolate 5lbs </t>
  </si>
  <si>
    <t xml:space="preserve">Rule 1 LBS 12lbs </t>
  </si>
  <si>
    <t xml:space="preserve">Rule 1 LBS 6lbs </t>
  </si>
  <si>
    <t>Rule 1 Lean 60 Serv</t>
  </si>
  <si>
    <t>Rule 1 Plant Protein + Energy</t>
  </si>
  <si>
    <t>Rule 1 Plant Protein 20 Servings</t>
  </si>
  <si>
    <t>Rule 1 Pre Amino 30 Serv</t>
  </si>
  <si>
    <t>Rule 1 Pre Amino 60 Serv</t>
  </si>
  <si>
    <t>Rule 1 Pre Lift</t>
  </si>
  <si>
    <t>Rule 1 Pre Train 2.0 25 Servings</t>
  </si>
  <si>
    <t>Rule 1 Pre Train 2.0 50 Serve</t>
  </si>
  <si>
    <t xml:space="preserve">Rule 1 Pro 6 Protein 4lbs </t>
  </si>
  <si>
    <t>Rule 1 Pump 30 servings</t>
  </si>
  <si>
    <t>Rule 1 Roar 30 Servings</t>
  </si>
  <si>
    <t>Rule 1 Essential Amino9</t>
  </si>
  <si>
    <t>Rule 1 Essential Amino9 + Energy</t>
  </si>
  <si>
    <t>Rule 1 Source'7 Protein 2lbs</t>
  </si>
  <si>
    <t>Rule 1 Source'7 Protein 5lbs</t>
  </si>
  <si>
    <t>Rule 1 Active BCAA 30serv</t>
  </si>
  <si>
    <t>Rule 1 Clear Whey Isolate 1.5lbs 27serv</t>
  </si>
  <si>
    <t>BSN</t>
  </si>
  <si>
    <t xml:space="preserve">BSN Truemass 10lbs </t>
  </si>
  <si>
    <t xml:space="preserve">BSN Syntha 10lbs </t>
  </si>
  <si>
    <t xml:space="preserve">BSN Syntha 5lbs </t>
  </si>
  <si>
    <t>BSN Xplode 30 Serv</t>
  </si>
  <si>
    <t>BSN Xplode 60 Serv</t>
  </si>
  <si>
    <t>ISOPURE</t>
  </si>
  <si>
    <t>Isopure Low Carb 1lb</t>
  </si>
  <si>
    <t xml:space="preserve">Isopure Low Carb 3.2lbs </t>
  </si>
  <si>
    <t>SCIVATION</t>
  </si>
  <si>
    <t>Scivation Xtend 30 Servings</t>
  </si>
  <si>
    <t>Scivation Xtend 90 Servings</t>
  </si>
  <si>
    <t>Scivation Xtend Hydration 15 Sticks</t>
  </si>
  <si>
    <t>Scivation Xtend Hydration 28 Sticks</t>
  </si>
  <si>
    <t xml:space="preserve">Scivation Xtend Pro Isolate 2lbs </t>
  </si>
  <si>
    <t xml:space="preserve">Scivation Xtend Pro Isolate 5lbs </t>
  </si>
  <si>
    <t>Scivation Xtend Ripped 30 Servings</t>
  </si>
  <si>
    <t>Scivation Xtend Sports BCAA 30 servings</t>
  </si>
  <si>
    <t>CELLUCOR</t>
  </si>
  <si>
    <t>Cellucor Alpha Amino 30 serve</t>
  </si>
  <si>
    <t xml:space="preserve">Cellucor C4 30 Servings </t>
  </si>
  <si>
    <t>Cellucor C4 60 Servings</t>
  </si>
  <si>
    <t>Cellucor C4 Ripped 30 Servings</t>
  </si>
  <si>
    <t>Cellucor Creatine 72 Servings</t>
  </si>
  <si>
    <t>Cellucor Dynasty 30 Servings</t>
  </si>
  <si>
    <t>C4 Performance Energy Drink</t>
  </si>
  <si>
    <t>C4 50 Servings</t>
  </si>
  <si>
    <t>Cellucor C4 Creatine Cor-Performance 50s</t>
  </si>
  <si>
    <t>Cellucor C4 Creatine Cor-Performance 72s</t>
  </si>
  <si>
    <t xml:space="preserve">C4 Whey Protein 2lbs </t>
  </si>
  <si>
    <t>C4 Whey Protein 5lbs</t>
  </si>
  <si>
    <t>C4 Sports 30 servings</t>
  </si>
  <si>
    <t>INSANE LABZ</t>
  </si>
  <si>
    <t>Insane Labz HMB 120 Caps</t>
  </si>
  <si>
    <t>Insane Labz I am God</t>
  </si>
  <si>
    <t>Insane Creatine 60 Servings</t>
  </si>
  <si>
    <t>Insane Cutz 45 Serv</t>
  </si>
  <si>
    <t xml:space="preserve">Insane Isolate 5lbs </t>
  </si>
  <si>
    <t>Insane Veinz</t>
  </si>
  <si>
    <t xml:space="preserve">Insane Whey 5lbs </t>
  </si>
  <si>
    <t xml:space="preserve">Insane Whey Ripped 5lbs </t>
  </si>
  <si>
    <t>Insane Labz Psychotic 30 packs</t>
  </si>
  <si>
    <t>Insane Labz Psychotic 35 servings</t>
  </si>
  <si>
    <t>Insane Labz Psychotic Diablo</t>
  </si>
  <si>
    <t>Insane Labz Psychotic Gold 15 servings</t>
  </si>
  <si>
    <t>Insane Labz Psychotic Gold 30 packs</t>
  </si>
  <si>
    <t>Insane Labz Psychotic Gold 35 servings</t>
  </si>
  <si>
    <t>Insane Labz Psychotic Hell Boy</t>
  </si>
  <si>
    <t>Insane Labz Psychotic SAW 40 Blood Bath 40 Servings</t>
  </si>
  <si>
    <t>Insane Labz Psychotic SAW 60 Capsules</t>
  </si>
  <si>
    <t>Insane Labz Psychotic SAW Pre Workout 30 Servings</t>
  </si>
  <si>
    <t>Insane Labz Psychotic Test</t>
  </si>
  <si>
    <t>Insane Labz Psychotic Black</t>
  </si>
  <si>
    <t>Insane Labz Insane Whey 60 Servings (Pouch)</t>
  </si>
  <si>
    <t>BETAN COURT</t>
  </si>
  <si>
    <t>Betan Court Androrush 120 caps</t>
  </si>
  <si>
    <t>Betan Court Androrush 35 Servings</t>
  </si>
  <si>
    <t>Betan Court Androrush 65 Servings</t>
  </si>
  <si>
    <t>Betan Court BCAA Reloaded 30 Serve</t>
  </si>
  <si>
    <t>Betan Court Bnox Ripped 30 Servings</t>
  </si>
  <si>
    <t>Betan Court Carnitine</t>
  </si>
  <si>
    <t>Betan Court Glutamine 105 Servings</t>
  </si>
  <si>
    <t>Betan Court Reloaded Pre Workout 400g</t>
  </si>
  <si>
    <t>NUTREX</t>
  </si>
  <si>
    <t>Nutrex Creatine Drive 200g</t>
  </si>
  <si>
    <t>Nutrex Glutamine 300g</t>
  </si>
  <si>
    <t>Nutrex Hemorage Unleashed 30 Servings</t>
  </si>
  <si>
    <t>Nutrex Lipo 6 Black 120 Capsules</t>
  </si>
  <si>
    <t>Nutrex Lipo 6 Black Training 30 Serve</t>
  </si>
  <si>
    <t>Nutrex Lipo 6 CLA</t>
  </si>
  <si>
    <t>Nutrex Lipo 6 Defining Gel</t>
  </si>
  <si>
    <t>Nutrex Lipo 6 Hers</t>
  </si>
  <si>
    <t>Nutrex Lipo 6 Stim Free 60 Caps</t>
  </si>
  <si>
    <t>Nutrex Lipo 6 UC Intense 60 Caps</t>
  </si>
  <si>
    <t>Nutrex Lipo 6 Ultra Concentrated</t>
  </si>
  <si>
    <t xml:space="preserve">Nutrex Lipo 6 Xtreme Potency 120 Caps. </t>
  </si>
  <si>
    <t>.</t>
  </si>
  <si>
    <t>Nutrex HMB 1000 120caps</t>
  </si>
  <si>
    <t>NUTRAKEY</t>
  </si>
  <si>
    <t>Nutrakey Creatine Monohydrate 100 Caps.</t>
  </si>
  <si>
    <t>Nutrakey Creatine Monohydrate 1000g</t>
  </si>
  <si>
    <t>Nutrakey Creatine Monohydrate 300g</t>
  </si>
  <si>
    <t>Nutrakey Glutamine 300g</t>
  </si>
  <si>
    <t>Nutrakey Melatonin Caps.</t>
  </si>
  <si>
    <t xml:space="preserve">Nutrakey Yohimbine HCL </t>
  </si>
  <si>
    <t>RIVAL NUTRITION</t>
  </si>
  <si>
    <t xml:space="preserve">Rival Clean Gainer 12lbs </t>
  </si>
  <si>
    <t xml:space="preserve">Rival Clean Gainer 5lbs </t>
  </si>
  <si>
    <t>WHEYLABS</t>
  </si>
  <si>
    <t xml:space="preserve">Wheylabs Mass Gainer 7lbs </t>
  </si>
  <si>
    <t>Wheylabs Pro Standard Isolate 5lbs</t>
  </si>
  <si>
    <t xml:space="preserve">Wheylabs Pro Standard Whey 5lbs </t>
  </si>
  <si>
    <t xml:space="preserve">Wheylabs Ripped 5lbs </t>
  </si>
  <si>
    <t>Wheylabs Sinner Pre Workout</t>
  </si>
  <si>
    <t>HTP</t>
  </si>
  <si>
    <t>HTP Creatine Monohydrate 80 Servings</t>
  </si>
  <si>
    <t>EHP LABS</t>
  </si>
  <si>
    <t>EHP Labs Crea-8 100 Servings</t>
  </si>
  <si>
    <t>JNX SPORTS</t>
  </si>
  <si>
    <t>JNX Hydra BCAA+ 30 Servings</t>
  </si>
  <si>
    <t>JNX Ripper 30 Serv.</t>
  </si>
  <si>
    <t>JNX The Curse 50 Serv.</t>
  </si>
  <si>
    <t>JNX The Curse Creatine 500g 60 Serv</t>
  </si>
  <si>
    <t>JNX The Omen 100 Caps.</t>
  </si>
  <si>
    <t>JNX The Shadow 30 Serv</t>
  </si>
  <si>
    <t>JYM</t>
  </si>
  <si>
    <t>Jym Omega 120 softgel</t>
  </si>
  <si>
    <t>Jym Post Carb 30 Serve</t>
  </si>
  <si>
    <t>Post Jym 30 Serv.</t>
  </si>
  <si>
    <t>Post Jym Active 30s</t>
  </si>
  <si>
    <t>Pre JYM 20 Servings</t>
  </si>
  <si>
    <t>Pre JYM 30 Servings</t>
  </si>
  <si>
    <t xml:space="preserve">Pro-Jym Ultra Premium Protein Blend 3.9lbs </t>
  </si>
  <si>
    <t xml:space="preserve">Jym Protein Blend 4lbs </t>
  </si>
  <si>
    <t>Jym Shred 240 Caps.</t>
  </si>
  <si>
    <t>Jym ZMA 90 Caps.</t>
  </si>
  <si>
    <t>MUSCLE SPORT</t>
  </si>
  <si>
    <t xml:space="preserve">Muscle Sport BCAA Revolution 450g </t>
  </si>
  <si>
    <t>Muscle Sport Cardio Burn 30 Servings</t>
  </si>
  <si>
    <t>Muscle Sport Lipo Slim (Non Stim-Female) 60 Caps</t>
  </si>
  <si>
    <t>Muscle Sport  Rhino Rampage 210g</t>
  </si>
  <si>
    <t xml:space="preserve">Muscle Sport Lean Whey 2 lbs </t>
  </si>
  <si>
    <t>Muscle Sport Lean Whey 5 lbs</t>
  </si>
  <si>
    <t>Muscle Sport Mass Revolution 6lbs</t>
  </si>
  <si>
    <t>PVL</t>
  </si>
  <si>
    <t>PVL Carnitine</t>
  </si>
  <si>
    <t xml:space="preserve">PVL Clean Mass 10lbs </t>
  </si>
  <si>
    <t xml:space="preserve">PVL Clean Mass 6lbs </t>
  </si>
  <si>
    <t>PVL Creapure 240g</t>
  </si>
  <si>
    <t>PVL Creapure 410g</t>
  </si>
  <si>
    <t>PVL EAA+BCAA 369g</t>
  </si>
  <si>
    <t>NUTRAPURE</t>
  </si>
  <si>
    <t>Nutrapure Collagen Peptides Powder</t>
  </si>
  <si>
    <t>Nutrapure Marine Collagen</t>
  </si>
  <si>
    <t>REDCON 1</t>
  </si>
  <si>
    <t>Redcon BCAA 5g 30 Servings</t>
  </si>
  <si>
    <t>Redcon Beta Alanine 30 Serve</t>
  </si>
  <si>
    <t>Redcon Double Tab Fat Burner</t>
  </si>
  <si>
    <t>Redcon Fish Oil 1500mg 90s</t>
  </si>
  <si>
    <t>Redcon Glutamine 5g 60s</t>
  </si>
  <si>
    <t>Redcon Isotope 30 Servings</t>
  </si>
  <si>
    <t xml:space="preserve">Redcon Isotope 5lbs </t>
  </si>
  <si>
    <t>Redcon Total War 30 servings</t>
  </si>
  <si>
    <t>Redcon Total War 50 servings</t>
  </si>
  <si>
    <t xml:space="preserve">Redcon Total War Black Ops </t>
  </si>
  <si>
    <t>Redcon Yohimbine 2.5mg 90 Serv</t>
  </si>
  <si>
    <t>STACKER</t>
  </si>
  <si>
    <t>Stacker Whey Elite 5lbs</t>
  </si>
  <si>
    <t xml:space="preserve">Stacker Whey Infusion 5lbs </t>
  </si>
  <si>
    <t>SWANSON</t>
  </si>
  <si>
    <t>Swanson Vitamin C w/ Rose Hips 500mg 100s</t>
  </si>
  <si>
    <t>Swanson Albion Zinc 30mg 90 Caps.</t>
  </si>
  <si>
    <t>Swanson Ashwagandha 450mg 100s</t>
  </si>
  <si>
    <t>Swanson Fenugreek Seed 610mg 90 Caps</t>
  </si>
  <si>
    <t>Swanson Folic Acid 800mg</t>
  </si>
  <si>
    <t>Swanson Full Spec Bitter Melon 500mg 60s</t>
  </si>
  <si>
    <t>Swanson Green Tea 500mg 100s</t>
  </si>
  <si>
    <t>Swanson Gymnema Sylvestre Leaf 400mg 100s</t>
  </si>
  <si>
    <t>Swanson High Concentrate Omega-3 120 Caps.</t>
  </si>
  <si>
    <t>Swanson L-Carnitine 500mg 100 Tabs.</t>
  </si>
  <si>
    <t>Swanson Lion's Mane Mushroom 60s</t>
  </si>
  <si>
    <t>Swanson Maca 500mg 100 Caps</t>
  </si>
  <si>
    <t>Swanson Melatonin 10mg 60 Caps</t>
  </si>
  <si>
    <t>Swanson Melatonin 3mg 120 Caps.</t>
  </si>
  <si>
    <t>Swanson Milk Thistle 500mg 100 Caps</t>
  </si>
  <si>
    <t>Swanson Milk Thistle Dandelion Yellow Dock</t>
  </si>
  <si>
    <t>Swanson N-Acetyl Cysteine 600mg 100 Caps.</t>
  </si>
  <si>
    <t>Swanson PRB Ultimate 16 Strain Probiotics 60s</t>
  </si>
  <si>
    <t>Swanson Quercetin-High Potency 475mg 60 Veg Caps.</t>
  </si>
  <si>
    <t>Swanson Saw Palmetto 540mg 100 Caps</t>
  </si>
  <si>
    <t>Swanson Triple Magnessium Complex 100 Caps.</t>
  </si>
  <si>
    <t>Swanson Turmeric 720mg 30 Caps.</t>
  </si>
  <si>
    <t>Swanson Ultra 5-HTP 100mg 60 Caps.</t>
  </si>
  <si>
    <t>Swanson Ultra COQ10 Max 500mg 60s</t>
  </si>
  <si>
    <t>Swanson Ultra COQ10 Max 90s</t>
  </si>
  <si>
    <t>Swanson Ultra Mineral Citrate Complex 60 Caps.</t>
  </si>
  <si>
    <t>Swanson Vitamin C 1000mg W/RH 250 Tabs.</t>
  </si>
  <si>
    <t>Swanson Vitamin D3 250 Caps</t>
  </si>
  <si>
    <t>Swanson Vitamin D3-High Potency</t>
  </si>
  <si>
    <t>Swanson Zinc &amp; C Lozenges 60s</t>
  </si>
  <si>
    <t>Swanson Zinc Picolinate 22mg 60 Caps</t>
  </si>
  <si>
    <t>OH MY SPICE</t>
  </si>
  <si>
    <t>Oh my Spice Seasoning</t>
  </si>
  <si>
    <t>KLOUT</t>
  </si>
  <si>
    <t>Klout Karma 20 Servings</t>
  </si>
  <si>
    <t xml:space="preserve">Klout Mamba 20 Servings </t>
  </si>
  <si>
    <t>FITIQUE NUTRITION</t>
  </si>
  <si>
    <t xml:space="preserve">Fitique Skinny Whey </t>
  </si>
  <si>
    <t>SUPERIOR SUPPLEMENTS</t>
  </si>
  <si>
    <t>Superior Supplements Dream Body 900g</t>
  </si>
  <si>
    <t>Superior Supplements Hydro Whey Zero 5lbs</t>
  </si>
  <si>
    <t>Superior Iso Definition 5lbs</t>
  </si>
  <si>
    <t>Superior Iso Definition 10lbs</t>
  </si>
  <si>
    <t xml:space="preserve">Superior Iso Pro 4.85lbs/ 5lbs </t>
  </si>
  <si>
    <t>Superior Iso Pro 2.2lbs</t>
  </si>
  <si>
    <t>Superior Mass Pro 15.4lbs</t>
  </si>
  <si>
    <t xml:space="preserve">Superior Mass Pro 5lbs </t>
  </si>
  <si>
    <t xml:space="preserve">Superior Platinum Mass 15lbs </t>
  </si>
  <si>
    <t>Superior Ripped Whey 4lbs</t>
  </si>
  <si>
    <t>Superior S14 Creatine 300g</t>
  </si>
  <si>
    <t>Superior Whey Core 11lbs</t>
  </si>
  <si>
    <t>Superior Whey Core 2lbs</t>
  </si>
  <si>
    <t>Superior Whey Core 5lbs</t>
  </si>
  <si>
    <t>GASPARI NUTRITION</t>
  </si>
  <si>
    <t>Gaspari Amino Max 8000</t>
  </si>
  <si>
    <t>NUTRABIO</t>
  </si>
  <si>
    <t>Nutrabio Amino Kick</t>
  </si>
  <si>
    <t>Nutrabio BCAA 5000 Powder</t>
  </si>
  <si>
    <t xml:space="preserve">Nutrabio Classic Whey 5lbs </t>
  </si>
  <si>
    <t>Nutrabio Creatine Monohydrate 300g</t>
  </si>
  <si>
    <t>Nutrabio EAA</t>
  </si>
  <si>
    <t>Nutrabio Intra Blast</t>
  </si>
  <si>
    <t>Nutrabio Plant Protein</t>
  </si>
  <si>
    <t xml:space="preserve">Nutrabio Whey Isolate 2lbs </t>
  </si>
  <si>
    <t xml:space="preserve">Nutrabio Whey Isolate 5lbs </t>
  </si>
  <si>
    <t>GREAT LAKES</t>
  </si>
  <si>
    <t>Great Lakes Collagen 22s</t>
  </si>
  <si>
    <t>Great Lakes Collagen 38s</t>
  </si>
  <si>
    <t>MIXED</t>
  </si>
  <si>
    <t>Clenbuterol</t>
  </si>
  <si>
    <t>DBOL  (per pc)</t>
  </si>
  <si>
    <t>Dets Fitness</t>
  </si>
  <si>
    <t>Fort Slim</t>
  </si>
  <si>
    <t xml:space="preserve">Prestige Card </t>
  </si>
  <si>
    <t xml:space="preserve">TWS Smart Watch </t>
  </si>
  <si>
    <t>GOODIES</t>
  </si>
  <si>
    <t>S14 Protein Bar (per pcs)</t>
  </si>
  <si>
    <t>REPACKED</t>
  </si>
  <si>
    <t>REPACKED BSN Syntha-6 1lb.</t>
  </si>
  <si>
    <t>REPACKED BSN Truemass 1lb</t>
  </si>
  <si>
    <t>REPACKED Gain Rulz 1lb</t>
  </si>
  <si>
    <t>REPACKED Gaspari Amino Max 8000 20tabs.</t>
  </si>
  <si>
    <t>REPACKED Insane Whey 1lb.</t>
  </si>
  <si>
    <t>REPACKED Insane Whey Ripped 1lb.</t>
  </si>
  <si>
    <t>REPACKED Lipo 6 hers 20 Caps.</t>
  </si>
  <si>
    <t>REPACKED Lipo 6 Intense 20 Caps.</t>
  </si>
  <si>
    <t>Repacked Lipo 6 UC Intense 10caps</t>
  </si>
  <si>
    <t>REPACKED Muscletech Alpha Test 20 Caps.</t>
  </si>
  <si>
    <t>REPACKED Muscletech Hydro Super Elite 20 Caps.</t>
  </si>
  <si>
    <t>REPACKED Muscletech Hydroxycut Elite 20 Caps.</t>
  </si>
  <si>
    <t>REPACKED Muscletech Multi 20 Tabs.</t>
  </si>
  <si>
    <t>REPACKED Muscletech Nitrotech 1lb.</t>
  </si>
  <si>
    <t>REPACKED Muscletech Platinum Creatine 10 Serv.</t>
  </si>
  <si>
    <t>REPACKED Muscletech Platinum Creatine 20 Caps</t>
  </si>
  <si>
    <t>REPACKED Muscletech Platinum Creatine 20 Serv.</t>
  </si>
  <si>
    <t xml:space="preserve">REPACKED CC High Calorie Mass 1lb </t>
  </si>
  <si>
    <t>REPACKED Mutant Amino 20 Tabs</t>
  </si>
  <si>
    <t>REPACKED Mutant BCAA 10 Serv.</t>
  </si>
  <si>
    <t>REPACKED Mutant BCAA 20 Caps</t>
  </si>
  <si>
    <t>REPACKED Mutant Carnitine 20 Caps.</t>
  </si>
  <si>
    <t>REPACKED Mutant Creakong CX 20 Servings</t>
  </si>
  <si>
    <t>REPACKED Mutant Mass 1lb</t>
  </si>
  <si>
    <t>REPACKED Mutant Multi 20 Caps.</t>
  </si>
  <si>
    <t>REPACKED Mutant Whey 1lb</t>
  </si>
  <si>
    <t>REPACKED Nitrotech Gold 1lb</t>
  </si>
  <si>
    <t>REPACKED Nitrotech Ripped 1lb.</t>
  </si>
  <si>
    <t>REPACKED Nutrex Lipo-6 Ultra Con 20 Caps</t>
  </si>
  <si>
    <t>REPACKED Optimen 20 Caps.</t>
  </si>
  <si>
    <t>REPACKED Optimum Nutrition Amino 20 Tabs.</t>
  </si>
  <si>
    <t>REPACKED Optimum Nutrition BCAA 20 Caps</t>
  </si>
  <si>
    <t>REPACKED Optimum Nutrition Creatine 20 Caps.</t>
  </si>
  <si>
    <t>REPACKED Optimum Nutrition Creatine 20 Serv.</t>
  </si>
  <si>
    <t>REPACKED Optimum Nutrition Fishoil 20 Caps.</t>
  </si>
  <si>
    <t>REPACKED Optimum Nutrition Isolate 1lb.</t>
  </si>
  <si>
    <t>REPACKED Optimum Nutrition Whey GS 1lb.</t>
  </si>
  <si>
    <t>REPACKED Premium Mass 1lb.</t>
  </si>
  <si>
    <t>REPACKED Pro Series 1lb.</t>
  </si>
  <si>
    <t>REPACKED Promatrix Mass</t>
  </si>
  <si>
    <t>REPACKED Promatrix Whey 1lb</t>
  </si>
  <si>
    <t>REPACKED Prothin Brew (Sachet)</t>
  </si>
  <si>
    <t>REPACKED Prothin Creatine Monohydrate (Sachet)</t>
  </si>
  <si>
    <t>REPACKED Prothin Isolate (Sachet)</t>
  </si>
  <si>
    <t>REPACKED Prothin Isolate 1lb</t>
  </si>
  <si>
    <t>REPACKED Prothin Whey Ripped  (sachet)</t>
  </si>
  <si>
    <t>REPACKED Prothin Lipothin 60 capsules</t>
  </si>
  <si>
    <t>REPACKED Prothin mass Gainer sachet</t>
  </si>
  <si>
    <t>REPACKED Prothin pregame sachet</t>
  </si>
  <si>
    <t>REPACKED Rule 1 BCAA 10 Servings</t>
  </si>
  <si>
    <t>REPACKED Rule 1 BCAA 20 Serv.</t>
  </si>
  <si>
    <t>REPACKED Rule 1 Clean Gainer</t>
  </si>
  <si>
    <t>REPACKED Rule 1 Blend 1lb.</t>
  </si>
  <si>
    <t>REPACKED Rule 1 Creatine 20 Serv.</t>
  </si>
  <si>
    <t>REPACKED Rule 1 Isolate 1lb.</t>
  </si>
  <si>
    <t>REPACKED Rule 1 LBS 1lb.</t>
  </si>
  <si>
    <t>REPACKED Scivation Pro Isolate 1lb</t>
  </si>
  <si>
    <t>REPACKED Serious Mass 1lb.</t>
  </si>
  <si>
    <t>REPACKED Stacker Elite Infusion 1lb.</t>
  </si>
  <si>
    <t>REPACKED Stacker Whey Elite 1lb.</t>
  </si>
  <si>
    <t>REPACKED Xtend BCAA 10 servings</t>
  </si>
  <si>
    <t>REPACKED Xtend BCAA 20 servings</t>
  </si>
  <si>
    <t>REPACKED Olimp 1lb</t>
  </si>
  <si>
    <t xml:space="preserve">REPACKED Wheyl 1lb </t>
  </si>
  <si>
    <t>REPACKED Mutant BCAA 15 capsule</t>
  </si>
  <si>
    <t>REPACKED PVL Clean Mass 1lb</t>
  </si>
  <si>
    <t>REPACKED Musclelabs Gainer Pro 1lb</t>
  </si>
  <si>
    <t>REPACKED Superior 14 Mass Pro 1lb</t>
  </si>
  <si>
    <t>REPACKED Wheylabs  Mass 1lb</t>
  </si>
  <si>
    <t>REPACKED Whey Rulz 1lb</t>
  </si>
  <si>
    <t>REPACKED Superior 14 Whey Core 1lb</t>
  </si>
  <si>
    <t>REPACKED Musclelabs Iso pro 1lb</t>
  </si>
  <si>
    <t>REPACKED Pro Jym Protein Blend 1lb</t>
  </si>
  <si>
    <t>REPACKED Superior 14 Platinum Mass 1lb</t>
  </si>
  <si>
    <t>REPACKED Core Champs Amino 20tabs</t>
  </si>
  <si>
    <t>REPACKED CC High Density 1lb</t>
  </si>
  <si>
    <t>REPACKED Rule 1 Essential Amino9 20serv</t>
  </si>
  <si>
    <t>REPACKED Calobye Creatine 20serv</t>
  </si>
  <si>
    <t>REPACKED Core Champs Creatine 30serv</t>
  </si>
  <si>
    <t>REPACKED Mutant BCAA 20serv</t>
  </si>
  <si>
    <t>WET GOODS</t>
  </si>
  <si>
    <t>Wet Goods - Beef Shank Cubes</t>
  </si>
  <si>
    <t>Wet Goods - Chicken Breast 1kg</t>
  </si>
  <si>
    <t>Wet Goods - Creamdory Fillet</t>
  </si>
  <si>
    <t>Wet Goods - Egg White</t>
  </si>
  <si>
    <t>Wet Goods - Ground Beef</t>
  </si>
  <si>
    <t>Wet Goods - Ground Chicken Breast 1kg</t>
  </si>
  <si>
    <t>Wet Goods - Leg Quarter</t>
  </si>
  <si>
    <t xml:space="preserve">Wet Goods - Liempo  </t>
  </si>
  <si>
    <t>Wet Goods - Pork Pata</t>
  </si>
  <si>
    <t>Wet Goods - Salmon Belly</t>
  </si>
  <si>
    <t xml:space="preserve">Wet Goods - Salmon Crazy Cut 500g </t>
  </si>
  <si>
    <t>Wet Goods - Salmon Flakes 1kg</t>
  </si>
  <si>
    <t>Wet Goods - Tenderloin 1kg</t>
  </si>
  <si>
    <t>Wet Goods - Thigh Part Fillet</t>
  </si>
  <si>
    <t>Wet Goods - Tilapia Fillet</t>
  </si>
  <si>
    <t>Wet Goods - Wagyu 1kg</t>
  </si>
  <si>
    <t>EQUIPMENT</t>
  </si>
  <si>
    <t>Adjustable Dumbbell 24KG (each)</t>
  </si>
  <si>
    <t>Adjustable Dumbbell 40KG (each)</t>
  </si>
  <si>
    <t>Adjustable Dumbbell Rack</t>
  </si>
  <si>
    <t>Adjustable Sit Up Bench AG0050P</t>
  </si>
  <si>
    <t>Adjustable Sit Up Bench AG0051-P</t>
  </si>
  <si>
    <t>AG0052 Premium Quality Sit Up Bench</t>
  </si>
  <si>
    <t>AG0110 Boxing Gloves</t>
  </si>
  <si>
    <t>AG142 Boxing Gloves</t>
  </si>
  <si>
    <t>AG1480B Treadmill 2.5HP</t>
  </si>
  <si>
    <t>AG163 Boxing Gloves</t>
  </si>
  <si>
    <t>AG220 B-Ball Orange</t>
  </si>
  <si>
    <t>AG221 B-Ball 2 tone</t>
  </si>
  <si>
    <t>AG222 B-Ball PVC Laminated</t>
  </si>
  <si>
    <t>AG41020 Speed Rope</t>
  </si>
  <si>
    <t>AG45 (Dumbbell, Kettlebell, Push Up Bar Set 40KG)</t>
  </si>
  <si>
    <t>AG500 Boxing Gloves</t>
  </si>
  <si>
    <t>AG546 Boxing Gloves</t>
  </si>
  <si>
    <t>Ankle Weight .5KG</t>
  </si>
  <si>
    <t>Ankle Weight 1KG</t>
  </si>
  <si>
    <t>Ankle Weight 2KG</t>
  </si>
  <si>
    <t>Athletes Club Belt Velcro</t>
  </si>
  <si>
    <t>Athletes Club Hip Band</t>
  </si>
  <si>
    <t>Athletes Club Knee Wrap</t>
  </si>
  <si>
    <t>Athletes Club Lifting Strap</t>
  </si>
  <si>
    <t>Athletes Club Liquid Chalk 250ml</t>
  </si>
  <si>
    <t>Athletes Club Liquid Chalk 50ml</t>
  </si>
  <si>
    <t>Athletes Club Padded Palm Grip</t>
  </si>
  <si>
    <t xml:space="preserve">Athletes Club Wrist Wrap </t>
  </si>
  <si>
    <t>ATV Big Bull 200cc 4x2 10in Aluminum Wheels (Red)</t>
  </si>
  <si>
    <t xml:space="preserve">ATV Big Bull 200cc 4x2 10in Aluminum Wheels (Blue) </t>
  </si>
  <si>
    <t xml:space="preserve">ATV Big Bull 200cc 4x2 10in Aluminum Wheels (Green) </t>
  </si>
  <si>
    <t>ATV Big Bull 200cc 4x2 10in Aluminum Wheels (Yellow)</t>
  </si>
  <si>
    <t>ATV Big Bull 200cc 4x2 10in Aluminum Wheels (White)</t>
  </si>
  <si>
    <t>ATV Big Bull 200cc 4x2 10in Aluminum Wheels (Orange)</t>
  </si>
  <si>
    <t>ATV Big Bull 200cc 4x2 10in Aluminum Wheels (Black)</t>
  </si>
  <si>
    <t>ATV Big Bull 250cc 4x4 10in Aluminum Wheels (Red)</t>
  </si>
  <si>
    <t>ATV Small Bull 125cc 4x2 8in Iron Wheels (Red)</t>
  </si>
  <si>
    <t>ATV Small Bull 125cc 4x2 8in Iron Wheels (Black)</t>
  </si>
  <si>
    <t>ATV Small Bull 125cc 4x2 8in Iron Wheels (Blue)</t>
  </si>
  <si>
    <t>ATV Small Bull 125cc 4x2 8in Iron Wheels (Green)</t>
  </si>
  <si>
    <t>ATV Small Bull 125cc 4x2 8in Iron Wheels w/o extra light (BLACK)</t>
  </si>
  <si>
    <t>ATV Hammer 250cc 4x4 12 inches Aluminum Tire(Black)</t>
  </si>
  <si>
    <t>Avant Garde Weight Lifting Belt</t>
  </si>
  <si>
    <t>Basketball Board Ring Set AB-90W</t>
  </si>
  <si>
    <t>Basketball Board Ring Set AB-91</t>
  </si>
  <si>
    <t>Battle Rope 40FTX1.5INCH</t>
  </si>
  <si>
    <t>Bench Power Tower AG0054</t>
  </si>
  <si>
    <t>Bobcat 2-Person Monodome Tent</t>
  </si>
  <si>
    <t>Chin up bar AG215</t>
  </si>
  <si>
    <t>Chrome Barbell Bar</t>
  </si>
  <si>
    <t>Chrome Dumbbell Bar</t>
  </si>
  <si>
    <t>Curl Bar 1X47</t>
  </si>
  <si>
    <t>Electric Wheel Chair A02</t>
  </si>
  <si>
    <t>Manual Curved Treadmill</t>
  </si>
  <si>
    <t>Elite Adjustable Dumbbell 24KG</t>
  </si>
  <si>
    <t>Elite foam Hand Grip</t>
  </si>
  <si>
    <t>Elite Home Gym EFEHG-1001</t>
  </si>
  <si>
    <t>Elite Interlocking Mat 6pcs</t>
  </si>
  <si>
    <t>Elite Junior Mask &amp; Snorkel Set</t>
  </si>
  <si>
    <t>Elite Nylon Heavy Duty Basketball Net</t>
  </si>
  <si>
    <t>Elite Pro Figure Twister</t>
  </si>
  <si>
    <t>Elite Push Up Bar</t>
  </si>
  <si>
    <t>Elite Sauna Suit</t>
  </si>
  <si>
    <t>Elite Sauna Suit (W/ hood)</t>
  </si>
  <si>
    <t>Elite Spin Bike Powercore EFESB-4049</t>
  </si>
  <si>
    <t>Excalibur Punching Bag 100x35</t>
  </si>
  <si>
    <t>Exercise Wheel AG217</t>
  </si>
  <si>
    <t>Fabricated Sit Up Bench</t>
  </si>
  <si>
    <t>Fairtex Handwrap 120'</t>
  </si>
  <si>
    <t>GW Adjustable Bench</t>
  </si>
  <si>
    <t>Electric Scooter Lid Acid Battery</t>
  </si>
  <si>
    <t>Hammertone Olympic Plates 10lbs</t>
  </si>
  <si>
    <t>Hammertone Olympic Plates 15lbs</t>
  </si>
  <si>
    <t>Hammertone Olympic Plates 2.5lbs</t>
  </si>
  <si>
    <t>Hammertone Olympic Plates 20lbs</t>
  </si>
  <si>
    <t>Hammertone Olympic Plates 5lbs</t>
  </si>
  <si>
    <t>Hammertone Plates 10lbs</t>
  </si>
  <si>
    <t>Hammertone Plates 15lbs</t>
  </si>
  <si>
    <t>Hammertone Plates 2.5lbs</t>
  </si>
  <si>
    <t>Hammertone Plates 20lbs</t>
  </si>
  <si>
    <t>Hammertone Plates 25lbs</t>
  </si>
  <si>
    <t xml:space="preserve">Hammertone Plates 5lbs </t>
  </si>
  <si>
    <t>Hand Wrap AG1559</t>
  </si>
  <si>
    <t>Hex Dumbbell 10lbs</t>
  </si>
  <si>
    <t>Hex Dumbbell 15lbs</t>
  </si>
  <si>
    <t>Hex Dumbbell 20lbs</t>
  </si>
  <si>
    <t>Hex Dumbbell 25lbs</t>
  </si>
  <si>
    <t>Hex Dumbbell 30lbs</t>
  </si>
  <si>
    <t>Hex Dumbbell 35lbs</t>
  </si>
  <si>
    <t>Hex Dumbbell 40lbs</t>
  </si>
  <si>
    <t>Hex Dumbbell 45lbs</t>
  </si>
  <si>
    <t>Hex Dumbbell 50lbs</t>
  </si>
  <si>
    <t>Hex Dumbbell 55lbs</t>
  </si>
  <si>
    <t>Hex Dumbbell 5lbs</t>
  </si>
  <si>
    <t>Hex Dumbbell Rack</t>
  </si>
  <si>
    <t>High Density Gym Mat AG30</t>
  </si>
  <si>
    <t>Home Gym AG422</t>
  </si>
  <si>
    <t>Kettlebell 10KG</t>
  </si>
  <si>
    <t>Kettlebell 12KG</t>
  </si>
  <si>
    <t>Kettlebell 4KG</t>
  </si>
  <si>
    <t>Kettlebell 6KG</t>
  </si>
  <si>
    <t>Kettlebell 8KG</t>
  </si>
  <si>
    <t>Massage Chair MR-103 (Black)</t>
  </si>
  <si>
    <t>Massage Chair MR-103 (Gray)</t>
  </si>
  <si>
    <t>Massage Chair MR-103 (Brown)</t>
  </si>
  <si>
    <t>Olympic Bar - 1x86 7FT</t>
  </si>
  <si>
    <t>Olympic Chrome Tricep Bar 1X34-O</t>
  </si>
  <si>
    <t>Olympic Short Bar 1X14</t>
  </si>
  <si>
    <t>Olympic Trigrip Plates 10KG</t>
  </si>
  <si>
    <t>Olympic Trigrip Plates 15KG</t>
  </si>
  <si>
    <t>Olympic Trigrip Plates 20KG</t>
  </si>
  <si>
    <t>Olympic Trigrip Plates 25KG</t>
  </si>
  <si>
    <t>Olympic Trigrip Plates 5KG</t>
  </si>
  <si>
    <t>Power band AG15-2.9CM</t>
  </si>
  <si>
    <t>Punching Bag PBS180</t>
  </si>
  <si>
    <t>Sauna Suit AG80602</t>
  </si>
  <si>
    <t>SD08 Power Rack Frame Weight Lifting</t>
  </si>
  <si>
    <t>SD0903 Power Rack w/ smith and pulley</t>
  </si>
  <si>
    <t>Shield Adjustable Wrist Support</t>
  </si>
  <si>
    <t>Shield Compression Arm Sleeve</t>
  </si>
  <si>
    <t>Shield Padded Honeycomb Leg Sleeves</t>
  </si>
  <si>
    <t>SP-1111S Spin Bike</t>
  </si>
  <si>
    <t>Spin Bike AG0056-Black</t>
  </si>
  <si>
    <t>Spin Bike HW-3039S</t>
  </si>
  <si>
    <t>Spin Bike (Sea Swim)</t>
  </si>
  <si>
    <t>TPE Yoga Mat AG16-S</t>
  </si>
  <si>
    <t>Treadmill AG1460-B</t>
  </si>
  <si>
    <t>Treadmill AG1540 3HP</t>
  </si>
  <si>
    <t>Treadmill AG3460B 2HP</t>
  </si>
  <si>
    <t>Treadmill AG4530-B</t>
  </si>
  <si>
    <t xml:space="preserve">UFC Curved Focus Mitt Short </t>
  </si>
  <si>
    <t>UFC Deluxe FID Bench</t>
  </si>
  <si>
    <t>UFC FID Bench</t>
  </si>
  <si>
    <t>UFC Fitball 65mm (UHA-69159)</t>
  </si>
  <si>
    <t>UFC Folding FID bench</t>
  </si>
  <si>
    <t>UFC Leather Jump rope</t>
  </si>
  <si>
    <t>UFC MMA Heavy Bag 80lbs</t>
  </si>
  <si>
    <t>UFC Mouth Guard 72319</t>
  </si>
  <si>
    <t>UFC Muay Thai Kick Pad</t>
  </si>
  <si>
    <t>UFC Muay Thai Style Training Gloves 14oz (UHK-90078-20-14)</t>
  </si>
  <si>
    <t>UFC PAO shield</t>
  </si>
  <si>
    <t>UFC Power Band</t>
  </si>
  <si>
    <t>AG1441-B Motorized Treadmill 1.5HP w/ Bluetooth</t>
  </si>
  <si>
    <t>UFC Speed Bag (UHK-90088-24)</t>
  </si>
  <si>
    <t>UFC Speed Chute</t>
  </si>
  <si>
    <t>UFC Speed Ladder</t>
  </si>
  <si>
    <t>UFC Speed Rope (UHA-69172)</t>
  </si>
  <si>
    <t>UFC Tire Mark Foam Massage Roller</t>
  </si>
  <si>
    <t>UFC Training Mat 10mm</t>
  </si>
  <si>
    <t>Vinyl 10lbs.</t>
  </si>
  <si>
    <t>Vinyl 11lbs.</t>
  </si>
  <si>
    <t>Vinyl 12lbs.</t>
  </si>
  <si>
    <t>Vinyl 2lbs</t>
  </si>
  <si>
    <t>Vinyl 4lbs</t>
  </si>
  <si>
    <t>Vinyl 5lbs.</t>
  </si>
  <si>
    <t>Vinyl 6lbs.</t>
  </si>
  <si>
    <t>Vinyl 7lbs.</t>
  </si>
  <si>
    <t>Vinyl 8lbs.</t>
  </si>
  <si>
    <t>Vinyl 9lbs.</t>
  </si>
  <si>
    <t>Weight Bench V-3012</t>
  </si>
  <si>
    <t>Weight Lifting Gloves 1917</t>
  </si>
  <si>
    <t>Weight Lifting Gloves 1974</t>
  </si>
  <si>
    <t>Weight Lifting Gloves 1975</t>
  </si>
  <si>
    <t>Weight Lifting Gloves AG1995</t>
  </si>
  <si>
    <t>Weight Lifting Straps</t>
  </si>
  <si>
    <t>Wight Lifting Gloves 9008</t>
  </si>
  <si>
    <t>Smith Machine 022</t>
  </si>
  <si>
    <t>Smith Machine G7 ( Commercial Use )</t>
  </si>
  <si>
    <t>Smith Machine 006</t>
  </si>
  <si>
    <t>Smith Machine G6</t>
  </si>
  <si>
    <t>Spin Bike 1180</t>
  </si>
  <si>
    <t>Adjustable Bench A23</t>
  </si>
  <si>
    <t>APPARELS</t>
  </si>
  <si>
    <t>Angry Gorilla</t>
  </si>
  <si>
    <t>Bled Tanktop</t>
  </si>
  <si>
    <t>prov</t>
  </si>
  <si>
    <t>C4 Towel</t>
  </si>
  <si>
    <t>Cities Tanktop</t>
  </si>
  <si>
    <t>Elitelabs String bag</t>
  </si>
  <si>
    <t>Get Wheysted Hori Shirt (Black)</t>
  </si>
  <si>
    <t>Get Wheysted Hori Shirt (White)</t>
  </si>
  <si>
    <t>Get Wheysted Hori Shirt freesize</t>
  </si>
  <si>
    <t>Get Wheysted Hori Sleeveless longfit white</t>
  </si>
  <si>
    <t>Get Wheysted Hori Sleeveless longfit white Freesize</t>
  </si>
  <si>
    <t>Get Wheysted Logo Muscletee White (Free Size)</t>
  </si>
  <si>
    <t>Get Wheysted Logo Shirt Black</t>
  </si>
  <si>
    <t>Get Wheysted Logo Sleeveless Black</t>
  </si>
  <si>
    <t>Get Wheysted Logo tanktop black</t>
  </si>
  <si>
    <t>Get Wheysted Plus Size Jacket</t>
  </si>
  <si>
    <t>Get Wheysted White Plain Text</t>
  </si>
  <si>
    <t>Get Wheysted Logo Muscletee Black (Freesize)</t>
  </si>
  <si>
    <t>Get Wheysted Hori Sleeveless (Muscletee)</t>
  </si>
  <si>
    <t>Hero Jogger</t>
  </si>
  <si>
    <t>Hero Shirt</t>
  </si>
  <si>
    <t>Hero Stringers</t>
  </si>
  <si>
    <t>Insane Towel</t>
  </si>
  <si>
    <t>Muscle Grind Athletic Dept (Black)</t>
  </si>
  <si>
    <t>Muscle Grind Athletic Dept (Cream)</t>
  </si>
  <si>
    <t>Muscle Grind Athletic Dept (Gray)</t>
  </si>
  <si>
    <t>Muscle Grind Champ V2 (Khaki)</t>
  </si>
  <si>
    <t>Muscle Grind Champ V2 (Offwhite)</t>
  </si>
  <si>
    <t>Muscle Grind Champs V2 (Brown)</t>
  </si>
  <si>
    <t>Muscle Grind Diamond (off white)</t>
  </si>
  <si>
    <t>Muscle Grind Diamond (powder blue)</t>
  </si>
  <si>
    <t>Muscle Grind Drip (Black)</t>
  </si>
  <si>
    <t>Muscle Grind Elevate</t>
  </si>
  <si>
    <t>Muscle Grind Leave your purpose</t>
  </si>
  <si>
    <t>Muscle Grind Legendary Tank Top</t>
  </si>
  <si>
    <t>Muscle Grind Lifting Club</t>
  </si>
  <si>
    <t>Muscle Grind MSCL Shorts V2 (Black)</t>
  </si>
  <si>
    <t>Muscle Grind MSCL Shorts V2 (Blue)</t>
  </si>
  <si>
    <t>Muscle Grind MSCL Shorts V2 (Brown)</t>
  </si>
  <si>
    <t>Muscle Grind MSCL Shorts V2 (Maroon)</t>
  </si>
  <si>
    <t>Muscle Grind MSCL Shorts V2 (Navy Blue)</t>
  </si>
  <si>
    <t>Muscle Grind Varsity (Navy Blue and White)</t>
  </si>
  <si>
    <t>Muscle Grind Varsity (Black and White)</t>
  </si>
  <si>
    <t>Muscle Grind Varsity (Black)</t>
  </si>
  <si>
    <t>Muscle Grind Varsity (Navy Blue)</t>
  </si>
  <si>
    <t>Muscle Grind Varsity (Red)</t>
  </si>
  <si>
    <t>Muscle Grind Varsity (Yellow and Black)</t>
  </si>
  <si>
    <t>Muscle Grind Washed Out (Black)</t>
  </si>
  <si>
    <t>Muscle Grind Washed Out (Navy Blue)</t>
  </si>
  <si>
    <t>Muscle Grind Wear it like a champ (Black)</t>
  </si>
  <si>
    <t>Muscle Grind Wear it like a champ (White))</t>
  </si>
  <si>
    <t>Muscletech Towel</t>
  </si>
  <si>
    <t>ON Jacket</t>
  </si>
  <si>
    <t>ON Proven Shirt</t>
  </si>
  <si>
    <t>Optimum Nutrition Gym Towel</t>
  </si>
  <si>
    <t>Promatrix Shirt</t>
  </si>
  <si>
    <t>Promatrix Muscletee</t>
  </si>
  <si>
    <t>Promatrix Muscletee (Hooded)</t>
  </si>
  <si>
    <t>Prothin Black Shirt</t>
  </si>
  <si>
    <t xml:space="preserve">Prothin Boxed Logo (Muscle Tee) </t>
  </si>
  <si>
    <t>Prothin Cap</t>
  </si>
  <si>
    <t>Prothin Hooded Sweater</t>
  </si>
  <si>
    <t>Prothin Hooded tanktop</t>
  </si>
  <si>
    <t>Prothin Repeated Text (Muscle Tee)</t>
  </si>
  <si>
    <t>Prothin Tank Top (Khaki)</t>
  </si>
  <si>
    <t>Prothin Tanktop (White)</t>
  </si>
  <si>
    <t>Prothin Shorts (Black)</t>
  </si>
  <si>
    <t>PT Tanktop White</t>
  </si>
  <si>
    <t>Prothin Key Chain</t>
  </si>
  <si>
    <t>Rule 1 Towel</t>
  </si>
  <si>
    <t>Success Shirt</t>
  </si>
  <si>
    <t>Wheysted Shirt</t>
  </si>
  <si>
    <t>Wheysted Tanktop</t>
  </si>
  <si>
    <t>Xtend Towel</t>
  </si>
  <si>
    <t>Mutant Muscle Tee (Free Size)</t>
  </si>
  <si>
    <t>Probeta Muscletee</t>
  </si>
  <si>
    <t xml:space="preserve">Probeta Shirt (White) </t>
  </si>
  <si>
    <t>Getwheysted Dufflebag</t>
  </si>
  <si>
    <t>Pump Shirt 4400 Black</t>
  </si>
  <si>
    <t>Pump Shirt 4400 Maroon</t>
  </si>
  <si>
    <t xml:space="preserve">Pump Shirt 4400 White </t>
  </si>
  <si>
    <t>Pump Shirt 4400 Navy Blue</t>
  </si>
  <si>
    <t xml:space="preserve">Pump Shirt 4400 Khaki </t>
  </si>
  <si>
    <t>ON Duffle Bag</t>
  </si>
  <si>
    <t>Stacker Sando</t>
  </si>
  <si>
    <t>Core Champs Shirt</t>
  </si>
  <si>
    <t>Get Wheysted Athletes Jersey</t>
  </si>
  <si>
    <t>SHAKERS</t>
  </si>
  <si>
    <t>BSN Shaker</t>
  </si>
  <si>
    <t>Cellucor Shaker</t>
  </si>
  <si>
    <t>Core Champs Shakers</t>
  </si>
  <si>
    <t>Cyclone Cup 22oz Shaker</t>
  </si>
  <si>
    <t>Cyclone Cup 32oz Shaker</t>
  </si>
  <si>
    <t>Cyclone Cup CORE Shaker</t>
  </si>
  <si>
    <t>fitique Shaker</t>
  </si>
  <si>
    <t xml:space="preserve">Get Wheysted LEttering SHaker </t>
  </si>
  <si>
    <t xml:space="preserve">Get Wheysted Ultra Clear Shaker </t>
  </si>
  <si>
    <t>Insane Shaker</t>
  </si>
  <si>
    <t>JYM Shaker</t>
  </si>
  <si>
    <t>Muscle Pharm Shaker</t>
  </si>
  <si>
    <t>Muscletech Shaker</t>
  </si>
  <si>
    <t xml:space="preserve">Mutant 2.6L Shaker </t>
  </si>
  <si>
    <t>Mutant Shaker 1L Shaker</t>
  </si>
  <si>
    <t>Mutant Tritan Shaker</t>
  </si>
  <si>
    <t xml:space="preserve">My bottle Shaker </t>
  </si>
  <si>
    <t>Nutrabio Shaker</t>
  </si>
  <si>
    <t>Olimp Sports Shaker 700ml</t>
  </si>
  <si>
    <t>ON Shaker</t>
  </si>
  <si>
    <t>Phyton Shaker 600ml</t>
  </si>
  <si>
    <t>Phyton Stainless Shaker</t>
  </si>
  <si>
    <t>Promatrix Mass Shaker</t>
  </si>
  <si>
    <t>Promatrix Shaker</t>
  </si>
  <si>
    <t>Prothin Shaker 600ml</t>
  </si>
  <si>
    <t>Redcon 1 Shaker</t>
  </si>
  <si>
    <t xml:space="preserve">Rule 1 Shaker </t>
  </si>
  <si>
    <t>S14 Shaker</t>
  </si>
  <si>
    <t>Stacker Shaker</t>
  </si>
  <si>
    <t xml:space="preserve">Wheylabs 1L Shaker </t>
  </si>
  <si>
    <t>Wheylabs Shaker 600ml</t>
  </si>
  <si>
    <t>Xtend Shaker</t>
  </si>
  <si>
    <t>Xtend Squeeze Bottle</t>
  </si>
  <si>
    <t>Prothin Shaker Gray (KL-7047D)</t>
  </si>
  <si>
    <t xml:space="preserve">Prothin SHaker #1 </t>
  </si>
  <si>
    <t xml:space="preserve">Prothin SHakerGold(Ultra Clear) </t>
  </si>
  <si>
    <t>Prothin Shaker Gold (KL-7120)</t>
  </si>
  <si>
    <t>ON Shaker Green UC 500ML</t>
  </si>
  <si>
    <t>ON Squeez Bottle</t>
  </si>
  <si>
    <t>PHYTON GLASS</t>
  </si>
  <si>
    <t>Prothin Stainless Shaker 750ml</t>
  </si>
  <si>
    <t>Prothin Stainless Shaker 750ml (Free)</t>
  </si>
  <si>
    <t>ON Shaker Gray UC 500ml</t>
  </si>
  <si>
    <t>Muscle Sport Shaker</t>
  </si>
  <si>
    <t>Evogen Shaker</t>
  </si>
  <si>
    <t>MUSCLERULZ</t>
  </si>
  <si>
    <t>Musclerulz Beta Alanine 200g</t>
  </si>
  <si>
    <t>Musclerulz BCAA 30 Servings</t>
  </si>
  <si>
    <t>Musclerulz CLA- 1000mg 120 softgels</t>
  </si>
  <si>
    <t>Musclerulz Creatine Powder Premium Micronized 300g</t>
  </si>
  <si>
    <t>Musclerulz Gain Rulz 16lbs</t>
  </si>
  <si>
    <t>Musclerulz Gain Rulz 8.1lbs</t>
  </si>
  <si>
    <t>Musclerulz Glutamine 300g</t>
  </si>
  <si>
    <t>Musclerulz Isorulz 5lbs</t>
  </si>
  <si>
    <t>Musclerulz Jet Rulz Xteme Pre Workout - 30 Servings</t>
  </si>
  <si>
    <t>Musclerulz Joint 1500 60 Tablets</t>
  </si>
  <si>
    <t>Musclerulz L-Arginine - 1000mg 180 Tabs.</t>
  </si>
  <si>
    <t>Musclerulz Liquid Carnitine 3000mg</t>
  </si>
  <si>
    <t>Musclerulz Multivitamin Daily 100 Tabs.</t>
  </si>
  <si>
    <t>Musclerulz Nitra Whey Creatine + BCAA 4.0lbs</t>
  </si>
  <si>
    <t>Musclerulz Omega-3 Premium Fishoil 100s</t>
  </si>
  <si>
    <t xml:space="preserve">Musclerulz Pro Rulz Premium Multi-Protein Formula 5lbs </t>
  </si>
  <si>
    <t>Musclerulz Shred Rulz 60 Caps.</t>
  </si>
  <si>
    <t>Musclerulz Testorulz</t>
  </si>
  <si>
    <t>Musclerulz Vitamin C 1000mg</t>
  </si>
  <si>
    <t xml:space="preserve">Musclerulz Whey Rulz 2lbs </t>
  </si>
  <si>
    <t xml:space="preserve">Musclerulz Whey Rulz 4lbs </t>
  </si>
  <si>
    <t xml:space="preserve">Musclerulz Whey Rulz 5lbs </t>
  </si>
  <si>
    <t xml:space="preserve">Musclerulz Whey Rulz Ripped 3.96 lbs </t>
  </si>
  <si>
    <t>Muscle Rulz  Pre Rulz CAF + Extreme PRe Workout</t>
  </si>
  <si>
    <t>CON-CRET</t>
  </si>
  <si>
    <t>Con-cret Clean Hydration 14 Pack</t>
  </si>
  <si>
    <t>Con-cret Concentrated Pure Creatine 60 Servings</t>
  </si>
  <si>
    <t>Con-cret Nitric Oxide Hydronox 40 Servings</t>
  </si>
  <si>
    <t>Con-cret Pure Creatine 60 Caps.</t>
  </si>
  <si>
    <t>Con-cret Testosteron Testofen 60 Caps.</t>
  </si>
  <si>
    <t>OLIMP SPORTS</t>
  </si>
  <si>
    <t>Olimp BCAA 28 servings</t>
  </si>
  <si>
    <t xml:space="preserve">Olimp Whey Protein Complex 1.5lbs </t>
  </si>
  <si>
    <t>BODYLOGIX</t>
  </si>
  <si>
    <t>BodyLogix Natural Pre-Workout 30 Servings</t>
  </si>
  <si>
    <t>BodyLogix Natural Whey 4lbs</t>
  </si>
  <si>
    <t>BodyLogix Vegan Protein 2lbs</t>
  </si>
  <si>
    <t>BPI SPORTS</t>
  </si>
  <si>
    <t>BPI Sports 1 MR Vortex 50 Servings</t>
  </si>
  <si>
    <t>BPI Sports A-HD Elite &amp; Solid Combo 30 Serv</t>
  </si>
  <si>
    <t>BPI Sports B4 Thermogenic 30 Caps.</t>
  </si>
  <si>
    <t>BPI Sports Best BCAA 60 Servings</t>
  </si>
  <si>
    <t>BPI Sports Best BCAA Shredded 25 Servings</t>
  </si>
  <si>
    <t>BPI Sports Best Protein 5lbs</t>
  </si>
  <si>
    <t>BPI Sports Better Best BCAA 30 Servings</t>
  </si>
  <si>
    <t>BPI Sports CLA + Carnitine 50 Servings</t>
  </si>
  <si>
    <t>BPI Sports Iso HD 4.9lbs</t>
  </si>
  <si>
    <t>BPI Sports One More Rep 25 Servings</t>
  </si>
  <si>
    <t>BPI Sports Plant Based Vegan Protein 1.9lbs</t>
  </si>
  <si>
    <t>BPI Sports Roxy Lean 60 Capsules</t>
  </si>
  <si>
    <t>BPI Sports Smart Burn 25 Servings</t>
  </si>
  <si>
    <t xml:space="preserve">BPI Sports Whey-HD - 4.1lbs </t>
  </si>
  <si>
    <t>MAN SPORTS</t>
  </si>
  <si>
    <t>Man Sports Yohimbine HCL 60c</t>
  </si>
  <si>
    <t>COLOSSAL LABS</t>
  </si>
  <si>
    <t xml:space="preserve">Colossal Labs Whey Blend 5lbs </t>
  </si>
  <si>
    <t>ANABOLIC WARFARE</t>
  </si>
  <si>
    <t>Anabolic warfare Bcaa</t>
  </si>
  <si>
    <t>Anabolic warfare Nuclear Armageddon</t>
  </si>
  <si>
    <t>Anabolic warfare PCT 40s</t>
  </si>
  <si>
    <t>Anabolic warfare Phenalean Powder wild Berry</t>
  </si>
  <si>
    <t>Anabolic warfare Project Cuts</t>
  </si>
  <si>
    <t>Anabolic warfare Project Density</t>
  </si>
  <si>
    <t>Anabolic warfare Project Gains</t>
  </si>
  <si>
    <t>Anabolic warfare Project Growth</t>
  </si>
  <si>
    <t>Anabolic warfare Project Hulk</t>
  </si>
  <si>
    <t>Anabolic warfare Project Jacked</t>
  </si>
  <si>
    <t>Anabolic warfare Project Ripped</t>
  </si>
  <si>
    <t>Anabolic warfare Project Shred</t>
  </si>
  <si>
    <t>Anabolic warfare Pump-N-Grow</t>
  </si>
  <si>
    <t xml:space="preserve">Anabolic warfare Stim Lord 40s </t>
  </si>
  <si>
    <t>REPP SPORTS</t>
  </si>
  <si>
    <t>Repp Sports Broken Arrow Elite Pre-Workout 30s</t>
  </si>
  <si>
    <t>Repp Sports Raze Creatine 300g 60s</t>
  </si>
  <si>
    <t>Repp Sports Raze Pre 30s</t>
  </si>
  <si>
    <t>PERFECT SPORTS</t>
  </si>
  <si>
    <t xml:space="preserve">Perfect Sports - Apex Grass Fed 100% Whey 5lbs </t>
  </si>
  <si>
    <t>Perfect Sports -BCAA Hyper Clear 45 Servings</t>
  </si>
  <si>
    <t>Perfect Sports -Burn Cycle Keto Fat Burning</t>
  </si>
  <si>
    <t>Perfect Sports -Burn Cycle Weightloss 60 Caps</t>
  </si>
  <si>
    <t>Perfect Sports -Burn-FX Advanced Fat Burner 120 Caps</t>
  </si>
  <si>
    <t xml:space="preserve">Perfect Sports -Diesel 100% Whey Isolate 5lbs </t>
  </si>
  <si>
    <t>Perfect Sports -Diesel Vegan 100% Plant Based</t>
  </si>
  <si>
    <t>Perfect Sports -Hulk Clean Mass Gainer 10lbs</t>
  </si>
  <si>
    <t>Perfect Sports -Ilean Weight loss + Amino Energy 30s</t>
  </si>
  <si>
    <t>Perfect Sports -Iprep Pre Workout 30 servings</t>
  </si>
  <si>
    <t>Perfect Sports -Test Enhancer 60 Caps.</t>
  </si>
  <si>
    <t>FOMO LABS</t>
  </si>
  <si>
    <t>Fomo labs Supa Nova 90 gummies (Fatburner)</t>
  </si>
  <si>
    <t>Fomo Labs Goobies</t>
  </si>
  <si>
    <t>Fomo Labs Power Bears</t>
  </si>
  <si>
    <t>Fomo Labs RejuBerry</t>
  </si>
  <si>
    <t>Fomo Labs Thunder Bears</t>
  </si>
  <si>
    <t>RHYNO NUTRITION</t>
  </si>
  <si>
    <t>Rhyno Fish Oil 60 Caps.</t>
  </si>
  <si>
    <t>Rhyno Peanut Butter 230g</t>
  </si>
  <si>
    <t>Rhyno Vitamin C 60 Caps.</t>
  </si>
  <si>
    <t>ALL MAX NUTRITION</t>
  </si>
  <si>
    <t xml:space="preserve">All Max Nutrition All Mass 12lbs </t>
  </si>
  <si>
    <t xml:space="preserve">All Max Nutrition All Mass 5lbs </t>
  </si>
  <si>
    <t>All Max Nutrition All Whey 5lbs</t>
  </si>
  <si>
    <t xml:space="preserve">All Max Nutrition All Whey Gold 2lbs </t>
  </si>
  <si>
    <t xml:space="preserve">All Max Nutrition All Whey Gold 5lbs </t>
  </si>
  <si>
    <t>All Max Nutrition Amino Core 30 Servings</t>
  </si>
  <si>
    <t>All Max Nutrition Amino Core 90 Servings</t>
  </si>
  <si>
    <t>All Max Nutrition Amino Cuts 30 Servings</t>
  </si>
  <si>
    <t>All Max Nutrition Beta Alanine 400g</t>
  </si>
  <si>
    <t xml:space="preserve">All Max Nutrition Casein FX 2lbs </t>
  </si>
  <si>
    <t>All Max Nutrition Creatine 400g</t>
  </si>
  <si>
    <t>All Max Nutrition Glutamine</t>
  </si>
  <si>
    <t xml:space="preserve">All Max Nutrition Hexa Pro 2lbs </t>
  </si>
  <si>
    <t xml:space="preserve">All Max Nutrition Hexa Pro 5lbs </t>
  </si>
  <si>
    <t>All Max Nutrition Impact Igniter</t>
  </si>
  <si>
    <t>All Max Nutrition Impact Pump</t>
  </si>
  <si>
    <t xml:space="preserve">All Max Nutrition Iso Flex 2lbs </t>
  </si>
  <si>
    <t xml:space="preserve">All Max Nutrition Iso Flex 5lbs </t>
  </si>
  <si>
    <t xml:space="preserve">All Max Nutrition Iso Natural 5lbs </t>
  </si>
  <si>
    <t>All Max Nutrition Liver D-Tox 42s</t>
  </si>
  <si>
    <t>All Max Nutrition Rapid Cuts Shredded 90s</t>
  </si>
  <si>
    <t>All Max Nutrition Rapid Cuts Thermo 60s</t>
  </si>
  <si>
    <t>All Max Nutrition TestoFX Sports</t>
  </si>
  <si>
    <t xml:space="preserve">All Max Nutrition Whey Classic 5lbs </t>
  </si>
  <si>
    <t>MUSCLELABS</t>
  </si>
  <si>
    <t>Musclelabs Gainer 100 10 lbs</t>
  </si>
  <si>
    <t>Musclelabs Gainer 100 5 lbs</t>
  </si>
  <si>
    <t>Musclelabs Hydro Pro 5 lbs</t>
  </si>
  <si>
    <t>Musclelabs Iso Pro 100 10 lbs</t>
  </si>
  <si>
    <t xml:space="preserve">Musclelabs Iso Pro 100 5 lbs </t>
  </si>
  <si>
    <t>SUPER MORINGA</t>
  </si>
  <si>
    <t>Super Moringa Aromatherapy Oil</t>
  </si>
  <si>
    <t>Super Moringa Bothanical Essence 7in1</t>
  </si>
  <si>
    <t>HERBS OF THE EARTH</t>
  </si>
  <si>
    <t>Herbs of the Earth - Amino &amp; BCAA tablets</t>
  </si>
  <si>
    <t>Herbs of the Earth - Collagen + Nano Peptides 120s</t>
  </si>
  <si>
    <t>Herbs of the Earth - Enzymes + Digestive Pancreatin 50 Capsules</t>
  </si>
  <si>
    <t>Herbs of the Earth - Garcinia Cambogia 60 Capsules</t>
  </si>
  <si>
    <t>Herbs of the Earth - Insulated Tumbler 40oc</t>
  </si>
  <si>
    <t>Herbs of the Earth - Joint + Glucosamine 90 Capsules</t>
  </si>
  <si>
    <t>Herbs of the Earth - L-Carnitine 500mg 30s</t>
  </si>
  <si>
    <t>Herbs of the Earth - Milk Thistle 450mg 60s</t>
  </si>
  <si>
    <t>Herbs of the Earth - Nightrim 60 Capsules</t>
  </si>
  <si>
    <t>Herbs of the Earth - Omega 3 Fish Oil 1000MG 60 softgels</t>
  </si>
  <si>
    <t>Herbs of the Earth - Organic Collagen Peptides 454g</t>
  </si>
  <si>
    <t>Herbs of the Earth - Organic Plant Based Vegan Protein</t>
  </si>
  <si>
    <t>Herbs of the Earth - Reduce 60 Capsules</t>
  </si>
  <si>
    <t>Herbs of the Earth - Saw Palmetto 500mg</t>
  </si>
  <si>
    <t>Herbs of the Earth - Super Hydrolyzed Collagen 1lb</t>
  </si>
  <si>
    <t>Herbs of the Earth - Turmeric Organic 60 Tablets</t>
  </si>
  <si>
    <t>Herbs of the Earth - Vegan Plant Protein 1lb</t>
  </si>
  <si>
    <t>PLASTICS</t>
  </si>
  <si>
    <t xml:space="preserve">Plastic XL </t>
  </si>
  <si>
    <t>Plastic L</t>
  </si>
  <si>
    <t>Plastic M</t>
  </si>
  <si>
    <t>Plastic S</t>
  </si>
  <si>
    <t xml:space="preserve">WHEYL SUPPLEMENTS </t>
  </si>
  <si>
    <t>Wheyl JUST Whey Protein 1lb (15 servings)</t>
  </si>
  <si>
    <t>Wheyl JUST Fiver Whey Protein 5lbs (75 servings)</t>
  </si>
  <si>
    <t>Wheyl POD Pea Protein 1lb  (15 servings)</t>
  </si>
  <si>
    <t>Wheyl FLUX BCAAs  (15 servings)</t>
  </si>
  <si>
    <t>Wheyl KREA creatine monohydrate, pouch(30 servings)</t>
  </si>
  <si>
    <t>Wheyl KREA creatine monohydrate, tub (60 servings) unflavor</t>
  </si>
  <si>
    <t>Wheyl WAKE Pre-Workout tub (45 servings)</t>
  </si>
  <si>
    <t>Wheyl HYDRA electrolytes ( per stick )</t>
  </si>
  <si>
    <t>Wheyl FUEL + electrolytes ( per stick )</t>
  </si>
  <si>
    <t>SAIL Berry SAIL Wheyl shaker ( Blue )</t>
  </si>
  <si>
    <t xml:space="preserve">SAIL Berry SAIL Wheyl shaker ( White) </t>
  </si>
  <si>
    <t>WHEYL KREA creatine monohydrate, tub (60 servings) Flavored</t>
  </si>
  <si>
    <t>PROMO ITEMS</t>
  </si>
  <si>
    <t>PROMO Mutant Mass 12lbs Free Creakong</t>
  </si>
  <si>
    <t>PROMO Mutant Amino 300 Tabs FREE Nutrapure Creatine</t>
  </si>
  <si>
    <t>PROMO CC Promatrix 5lbs FREE Nitric Oxide Extreme Pump and On UC Green Shaker</t>
  </si>
  <si>
    <t>PROMO CC Ultimate Mass 2:1 FREE Wheyl Kreatine 30s and ON Green  Shaker</t>
  </si>
  <si>
    <t>PROMO Promatrix 5lbs FREE CC Collagen and ON GREEN Shaker</t>
  </si>
  <si>
    <t>PROMO Prothin Whey Ripped (Choco) 60s Lipothin</t>
  </si>
  <si>
    <t>PROMO  Prothin Whey Ripped (Vanilla) 60s Lipothin</t>
  </si>
  <si>
    <t>PROMO Prothin Whey Ripped (Taro) 60s Lipothin</t>
  </si>
  <si>
    <t>PROMO Prothin Whey Ripped (Matcha) 60s Lipothin</t>
  </si>
  <si>
    <t>PROMO Corechamps Whey 5lbs Free PT Multi and CC Shaker</t>
  </si>
  <si>
    <t>PROMO Corechamps Mass 15lbs Free PB Creatine 30s and CC Shaker</t>
  </si>
  <si>
    <t>PROMO Bundle ON Whey 5lbs, Amino Energy &amp; ON Duffle Bag</t>
  </si>
  <si>
    <t>PROMO Bundle Serious Mass 6lbs, Amino Energy &amp; Duffle Bag</t>
  </si>
  <si>
    <t>PROMO Bundle Serious Mass 6lbs, Amino Energy , ON Creatine 300g, ON Shaker &amp; Duffle Bag</t>
  </si>
  <si>
    <t>PROMO Bundle ON Whey 5lbs, Amino Energy, ON Creatine 300g, ON Shaker &amp; Duffle Bag</t>
  </si>
  <si>
    <t>PROMO Bundle Stacker Infusion 5lbs FREE gws gym bag &amp; stacker shaker</t>
  </si>
  <si>
    <t>PROMO Bundle R1 Casein FREE lipo intense, on shirt &amp; RDX</t>
  </si>
  <si>
    <t>PROMO Bundle R1 Isolate 10lbs FREE lipo intense, on shirt &amp; RDX</t>
  </si>
  <si>
    <t>PROMO Bundle Syntha-6 5lbs FREE lipo intense, on shirt &amp; RDX</t>
  </si>
  <si>
    <t>PROMO Bundle Musclerulz Iso Rulz 5lbs FREE gws gym bag &amp; Phyton Glass</t>
  </si>
  <si>
    <t>PROMO Bundle Olimp sports whey, BCAA, Shred Rulz, GWS Lettering Shaker &amp;GWS Hori Shirt</t>
  </si>
  <si>
    <t>BUY 1 TAKE 1 Masstech 20lbs</t>
  </si>
  <si>
    <t>PROMO Bundle DIESEL 100% Whey Isolate Free CC shaker, CC creatine</t>
  </si>
  <si>
    <t>PROMO Bundle S14 mass pro , PB creatine , ON Gray shaker</t>
  </si>
  <si>
    <t>PROMO Bundle Calobye Power Shake Mix 4.4lbs FREE gws gym bag &amp; gws lettering shaker</t>
  </si>
  <si>
    <t>PROMO Bundle Swanson High Omega 120s, Milk Thistle 500mg 100 caps, Maca 500g 100 caps &amp; Pill Case</t>
  </si>
  <si>
    <t>PROMO Bundle Platinum Mass 15lbs, PB Creatine &amp; ON Shaker Gray UC 500ml</t>
  </si>
  <si>
    <t>PROMO Bundle Hulk Clean Mass Gainer 10lbs Free CC Creatine and CC Shaker</t>
  </si>
  <si>
    <t>PROMO Apex Grass Fed 100% Whey 5lbs Free CC Creatine and CC Shaker</t>
  </si>
  <si>
    <t>CALOBYE</t>
  </si>
  <si>
    <t>CALOBYE BCAA 30S</t>
  </si>
  <si>
    <t>CALOBYE CREATINE 300G</t>
  </si>
  <si>
    <t>Calobye Power Shake Mix 4.4lbs (Chocolate)</t>
  </si>
  <si>
    <t>Calobye Booster</t>
  </si>
  <si>
    <t>Calobye Sparkling RTD (Grapes)</t>
  </si>
  <si>
    <t>Calobye Spakling RTD (Grape fruit)</t>
  </si>
  <si>
    <t>Calobye Power shake RTD (Strawberry)</t>
  </si>
  <si>
    <t>Calobye Power shake RTD (Chocolate)</t>
  </si>
  <si>
    <t xml:space="preserve">OTHERS </t>
  </si>
  <si>
    <t>Tokifit Vegan 500g (CHOCO)</t>
  </si>
  <si>
    <t>Tokifit Vegan 500g (vanilla)</t>
  </si>
  <si>
    <t>Tokifit Vegan 500g (Matcha)</t>
  </si>
  <si>
    <t>Sports Science Nutrition Exact Whey 1lb</t>
  </si>
  <si>
    <t>Blitz Nutrition Protein Bar</t>
  </si>
  <si>
    <t>FIZZI Collagen + Glutathione Strawberry (Tube)</t>
  </si>
  <si>
    <t>FIZZI Collagen + Glutathione Strawberry (Box)</t>
  </si>
  <si>
    <t>FIZZI SHAKER</t>
  </si>
  <si>
    <t>FIZZI Tube Free</t>
  </si>
  <si>
    <t>OKBARRY Zextra Sure</t>
  </si>
  <si>
    <t>OKBARRY  Glutathione Whitening Booster</t>
  </si>
  <si>
    <t>UCAN Energy Packet ( per sachet )</t>
  </si>
  <si>
    <t>UCAN Energy Gel Edge 53g (Sachet)</t>
  </si>
  <si>
    <t>UCAN Hydrate Stick + Amino (Sachet)</t>
  </si>
  <si>
    <t>Wheylabs Pro Standard Creatine 100 Servings</t>
  </si>
  <si>
    <t>CANCELLED</t>
  </si>
  <si>
    <t>Proscience Nutra Anabolic Mass 15lbs</t>
  </si>
  <si>
    <t>GAT Nutrition Nitraflex Original 30 Servings</t>
  </si>
  <si>
    <t>Powerbar PowerGel-Fruit 24 packs</t>
  </si>
  <si>
    <t>Powerbar PowerGel Original</t>
  </si>
  <si>
    <t>Prothin Vendo Machine Package</t>
  </si>
  <si>
    <t>Heavy Duty GWS Ecobag</t>
  </si>
  <si>
    <t>Primebeta Barley</t>
  </si>
  <si>
    <t>Flyco Razor</t>
  </si>
  <si>
    <t>KN95</t>
  </si>
  <si>
    <t>Now Foods Creatine Monohydrate 227g</t>
  </si>
  <si>
    <t>Surreal High Protein Cereal</t>
  </si>
  <si>
    <t>Wispy Pancake Mix</t>
  </si>
  <si>
    <t>Torq Gel w/guarana (Natural Caffeine) 1pc</t>
  </si>
  <si>
    <t>TORQ GEL 1pc</t>
  </si>
  <si>
    <t>Torq Jellies 1pc</t>
  </si>
  <si>
    <t>Torq Energy Pouch 15 servings</t>
  </si>
  <si>
    <t>Torq Hydration Pouch 30 servings</t>
  </si>
  <si>
    <t>Torq Energy Drink 1pc</t>
  </si>
  <si>
    <t>Wispy Whey Protein 30 servings</t>
  </si>
  <si>
    <t>HYDR8 15 servings</t>
  </si>
  <si>
    <t>RABEKO</t>
  </si>
  <si>
    <t>Rabeko Sauce</t>
  </si>
  <si>
    <t>Rabeko Cooking Spray</t>
  </si>
  <si>
    <t>Rabeko Jams</t>
  </si>
  <si>
    <t>Rabeko Spread</t>
  </si>
  <si>
    <t>Rabeko Speculoos Biscuit</t>
  </si>
  <si>
    <t xml:space="preserve">PROTEIN BARS </t>
  </si>
  <si>
    <t xml:space="preserve">Barebells Protein Bar ( Cookies and Cream / Hazelnut Nougat ) </t>
  </si>
  <si>
    <t xml:space="preserve">Mars Protein Bar ( Low Sugar Original ) </t>
  </si>
  <si>
    <t xml:space="preserve">Snickers Protein Bar ( Peanut Butter/ Crisp / Low Sugar Orig / White ) </t>
  </si>
  <si>
    <t>Grenade Protein Bar</t>
  </si>
  <si>
    <t>Wispy Protein Bar</t>
  </si>
  <si>
    <t>Smarter Pancakes</t>
  </si>
  <si>
    <t>DYMATIZE</t>
  </si>
  <si>
    <t xml:space="preserve">Dymatize Iso 100 5LBS </t>
  </si>
  <si>
    <t>Dymatize Iso 100 20 servings  / 1LB</t>
  </si>
  <si>
    <t xml:space="preserve">GAT Nutrition </t>
  </si>
  <si>
    <t>GAT Essentials BCAA Powder 250G</t>
  </si>
  <si>
    <t>GAT Essentials Creatine Monohydrate 300g</t>
  </si>
  <si>
    <t>GAT Essentials Liquid L-Carnitine 3000 - 16 oz</t>
  </si>
  <si>
    <t>BASIC SUPPLEMENTS</t>
  </si>
  <si>
    <t>Basic BCAA 30 Servings</t>
  </si>
  <si>
    <t>Basic Burn 45 Servings</t>
  </si>
  <si>
    <t>Basic Pre Workout 30 Servings</t>
  </si>
  <si>
    <t>Basic Whey Protein 2lbs</t>
  </si>
  <si>
    <t>Basic Whey Protein 5lbs</t>
  </si>
  <si>
    <t xml:space="preserve">EVOGEN </t>
  </si>
  <si>
    <t>Evogen EVP Extreme</t>
  </si>
  <si>
    <t>Evogen EVP 3D</t>
  </si>
  <si>
    <t>Evogen Carnigen Powder +caffeine</t>
  </si>
  <si>
    <t>Evogen Carnigen Liquid</t>
  </si>
  <si>
    <t>Evogen Carnigen Powder</t>
  </si>
  <si>
    <t>Evogen Lipocide IR</t>
  </si>
  <si>
    <t>Evogen Evogreens</t>
  </si>
  <si>
    <t>Evogen Collagen Plus Hydration</t>
  </si>
  <si>
    <t>Evogen Evoboost T</t>
  </si>
  <si>
    <t>Evogen Evofusion Whey Proetin 4lbs</t>
  </si>
  <si>
    <t>Evogen Creatine</t>
  </si>
  <si>
    <t xml:space="preserve">Rule 1 Mass Gainer 6lbs </t>
  </si>
  <si>
    <t xml:space="preserve">Rule 1 Mass Gainer 12lbs </t>
  </si>
  <si>
    <t>JNX The Curse 30 Serv</t>
  </si>
  <si>
    <t>REPACKED Sports Science Nutrition Exact Whey</t>
  </si>
  <si>
    <t>Scooter LX3</t>
  </si>
  <si>
    <t>ATV Tire 22x10-10</t>
  </si>
  <si>
    <t>7-11 &amp; LAWSON PROTHIN MINI CHOCO</t>
  </si>
  <si>
    <t>7-11 &amp; LAWSON PROTHIN MINI VANILLA</t>
  </si>
  <si>
    <t>LAWSON PROTHIN CREATINE</t>
  </si>
  <si>
    <t>WALK IN (AGENT ONLINE)</t>
  </si>
  <si>
    <t>WALK IN ( AGENT CASH )</t>
  </si>
  <si>
    <t>DELIVERY (AGENT CASH)</t>
  </si>
  <si>
    <t>DELIVERY (AGENT ONLINE)</t>
  </si>
  <si>
    <t>( AGENT)</t>
  </si>
  <si>
    <t>Walk in (Online) - Agent</t>
  </si>
  <si>
    <t>Delivery (Online) Agent</t>
  </si>
  <si>
    <t>Shipping - Agent</t>
  </si>
  <si>
    <t>TOTAL AGENT      :</t>
  </si>
  <si>
    <t>Agent:</t>
  </si>
  <si>
    <t>Agent (Online)</t>
  </si>
  <si>
    <t>TOTAL AGENT</t>
  </si>
  <si>
    <t>Core Champs Nitrix Xtreme 120 tablets</t>
  </si>
  <si>
    <t>Redcon Total War Reloaded 30 servings</t>
  </si>
  <si>
    <t xml:space="preserve">REPACKED Muscletech Amino Build 10 servings </t>
  </si>
  <si>
    <t>Musclerulz Creatine Powder Premium Micronized 1kg</t>
  </si>
  <si>
    <t>Basic Creatine 1kg</t>
  </si>
  <si>
    <t>ULTIMATE NUTRITION</t>
  </si>
  <si>
    <t>Prostar 100% Whey Protein 5lbs</t>
  </si>
  <si>
    <t>CREDIT CARD REPORT ( AGENT )</t>
  </si>
  <si>
    <t>CREDIT CARD REPORT (DELIVERY RIDER 1 )</t>
  </si>
  <si>
    <t>Credit Card (Agent)</t>
  </si>
  <si>
    <t>Agent (Cash)</t>
  </si>
  <si>
    <t>(CASH,ONLINE AND CC)</t>
  </si>
  <si>
    <t>DATE  :</t>
  </si>
  <si>
    <t>Mode of Payment</t>
  </si>
  <si>
    <t>REPACKED Masstech 1lb.</t>
  </si>
  <si>
    <t>ATV Big Bull 200cc 4x2 10in No Wheels (Red)</t>
  </si>
  <si>
    <t>PPF Mid Tier 8.5mil</t>
  </si>
  <si>
    <t>Nano Ceramic Tint 5%</t>
  </si>
  <si>
    <t>Nano Ceramic Tint 15%</t>
  </si>
  <si>
    <t>Nano Ceramic Tint 20%</t>
  </si>
  <si>
    <t>Musclelabs Shaker</t>
  </si>
  <si>
    <t>Musclelabs Creatine 300g</t>
  </si>
  <si>
    <t>Musclelabs Whey Pro 2lbs</t>
  </si>
  <si>
    <t>Musclelabs Whey Pro 5lbs</t>
  </si>
  <si>
    <t>PROMO Mutant Mass 5lbs FREE 2.6L Jug</t>
  </si>
  <si>
    <t>INSPIRED</t>
  </si>
  <si>
    <t>Inspired Nutra Creatine Monohydrate 60 Servings</t>
  </si>
  <si>
    <t>Inspired Nutra GLX Stimulant Free GLP-1 30 Servings</t>
  </si>
  <si>
    <t>Inspired Nutra Pre Workout 40 servings</t>
  </si>
  <si>
    <t>GOLIATH</t>
  </si>
  <si>
    <t>Goliath Labs Whey Protein 100% 5lbs</t>
  </si>
  <si>
    <t>CASH AGENT</t>
  </si>
  <si>
    <t>AR / PDC AGENT</t>
  </si>
  <si>
    <t>ONLINE AGENT</t>
  </si>
  <si>
    <t>CR. CARD AGENT</t>
  </si>
  <si>
    <t>Quantity</t>
  </si>
  <si>
    <t>Dasma Branch</t>
  </si>
  <si>
    <t>gws lettering shaker</t>
  </si>
  <si>
    <t xml:space="preserve">regina latagan </t>
  </si>
  <si>
    <t xml:space="preserve">prothin stainless shaker </t>
  </si>
  <si>
    <t>DASSMA BRANCH</t>
  </si>
  <si>
    <t>SEPT, 5 ,2026</t>
  </si>
  <si>
    <t>DASMA BRANCH</t>
  </si>
  <si>
    <t>September 5,2026</t>
  </si>
  <si>
    <t>September 5 ,2026</t>
  </si>
  <si>
    <t>gws plain text</t>
  </si>
  <si>
    <t>Plastic XL</t>
  </si>
  <si>
    <t xml:space="preserve">lalamove to warehouse </t>
  </si>
  <si>
    <t>creditcard terminal</t>
  </si>
  <si>
    <t>Prothin Whey Isolate 60s</t>
  </si>
  <si>
    <t>C4 Ripped 30s</t>
  </si>
  <si>
    <t>Gws Lettering Shaker</t>
  </si>
  <si>
    <t>Gws plain Text</t>
  </si>
  <si>
    <t>HYDR 8 15 Serving</t>
  </si>
  <si>
    <t>Muscle Tech Mass Extreme 6lbs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</si>
</sst>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_-&quot;₱&quot;* #,##0.00_-;\-&quot;₱&quot;* #,##0.00_-;_-&quot;₱&quot;* &quot;-&quot;??_-;_-@_-"/>
    <numFmt numFmtId="166" formatCode="_-* #,##0.00_-;\-* #,##0.00_-;_-* &quot;-&quot;??_-;_-@_-"/>
    <numFmt numFmtId="167" formatCode="&quot; &quot;* #,##0.00&quot; &quot;;&quot; &quot;* \(#,##0.00\);&quot; &quot;* &quot;-&quot;??&quot; &quot;"/>
    <numFmt numFmtId="168" formatCode="&quot; ₱&quot;* #,##0.00&quot; &quot;;&quot;-₱&quot;* #,##0.00&quot; &quot;;&quot; ₱&quot;* &quot;-&quot;??&quot; &quot;"/>
    <numFmt numFmtId="169" formatCode="_-[$₱-3409]* #,##0.00_-;\-[$₱-3409]* #,##0.00_-;_-[$₱-3409]* &quot;-&quot;??_-;_-@_-"/>
  </numFmts>
  <fonts count="46">
    <font>
      <sz val="11"/>
      <color indexed="8"/>
      <name val="Calibri"/>
    </font>
    <font>
      <b/>
      <i/>
      <u/>
      <sz val="11"/>
      <color indexed="8"/>
      <name val="Calibri"/>
      <family val="2"/>
    </font>
    <font>
      <i/>
      <u/>
      <sz val="11"/>
      <color indexed="8"/>
      <name val="Calibri"/>
      <family val="2"/>
    </font>
    <font>
      <i/>
      <u/>
      <sz val="10"/>
      <color indexed="8"/>
      <name val="Calibri"/>
      <family val="2"/>
    </font>
    <font>
      <i/>
      <sz val="11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i/>
      <u/>
      <sz val="11"/>
      <color indexed="8"/>
      <name val="Arial"/>
      <family val="2"/>
    </font>
    <font>
      <i/>
      <u val="double"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i/>
      <sz val="12"/>
      <name val="Arial Narrow"/>
      <family val="2"/>
    </font>
    <font>
      <sz val="10"/>
      <name val="Arial"/>
      <family val="2"/>
    </font>
    <font>
      <i/>
      <sz val="10"/>
      <name val="Arial Narrow"/>
      <family val="2"/>
    </font>
    <font>
      <i/>
      <u val="singleAccounting"/>
      <sz val="11"/>
      <color indexed="8"/>
      <name val="Calibri"/>
      <family val="2"/>
    </font>
    <font>
      <i/>
      <u/>
      <sz val="12"/>
      <color indexed="8"/>
      <name val="Calibri"/>
      <family val="2"/>
    </font>
    <font>
      <b/>
      <i/>
      <sz val="11"/>
      <name val="Calibri (Body)_x0000_"/>
    </font>
    <font>
      <sz val="10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b/>
      <i/>
      <sz val="10"/>
      <name val="Calibri (Body)"/>
    </font>
    <font>
      <b/>
      <sz val="9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i/>
      <sz val="12"/>
      <name val="Calibri (Body)_x0000_"/>
    </font>
    <font>
      <sz val="12"/>
      <name val="Calibri"/>
      <family val="2"/>
    </font>
    <font>
      <b/>
      <sz val="10"/>
      <color rgb="FF000000"/>
      <name val="Arial Narrow"/>
      <family val="2"/>
    </font>
    <font>
      <b/>
      <sz val="10"/>
      <name val="Arial Narrow"/>
      <family val="2"/>
    </font>
    <font>
      <b/>
      <sz val="10"/>
      <color rgb="FFC00000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b/>
      <i/>
      <u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81"/>
      <name val="Tahoma"/>
      <family val="2"/>
    </font>
    <font>
      <b/>
      <sz val="10"/>
      <color rgb="FF800000"/>
      <name val="Arial Narrow"/>
      <family val="2"/>
    </font>
    <font>
      <i/>
      <sz val="11"/>
      <name val="Calibri"/>
      <family val="2"/>
    </font>
    <font>
      <b/>
      <i/>
      <sz val="9"/>
      <name val="Calibri"/>
      <family val="2"/>
    </font>
    <font>
      <b/>
      <i/>
      <u val="singleAccounting"/>
      <sz val="11"/>
      <color indexed="8"/>
      <name val="Calibri"/>
      <family val="2"/>
    </font>
    <font>
      <b/>
      <i/>
      <sz val="11"/>
      <color indexed="8"/>
      <name val="Calibri"/>
      <family val="2"/>
    </font>
    <font>
      <b/>
      <i/>
      <sz val="11"/>
      <name val="Calibri"/>
      <family val="2"/>
    </font>
    <font>
      <b/>
      <i/>
      <sz val="12"/>
      <name val="Calibri"/>
      <family val="2"/>
    </font>
    <font>
      <b/>
      <i/>
      <u/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color rgb="FFC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rgb="FFFFD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11"/>
      </top>
      <bottom style="medium">
        <color indexed="11"/>
      </bottom>
      <diagonal/>
    </border>
    <border>
      <left style="medium">
        <color indexed="8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11"/>
      </left>
      <right/>
      <top style="medium">
        <color indexed="11"/>
      </top>
      <bottom/>
      <diagonal/>
    </border>
    <border>
      <left/>
      <right/>
      <top style="medium">
        <color indexed="11"/>
      </top>
      <bottom/>
      <diagonal/>
    </border>
    <border>
      <left/>
      <right style="medium">
        <color indexed="11"/>
      </right>
      <top style="medium">
        <color indexed="11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11"/>
      </left>
      <right/>
      <top/>
      <bottom/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11"/>
      </left>
      <right/>
      <top/>
      <bottom style="medium">
        <color indexed="11"/>
      </bottom>
      <diagonal/>
    </border>
    <border>
      <left/>
      <right/>
      <top/>
      <bottom style="medium">
        <color indexed="11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11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11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medium">
        <color indexed="11"/>
      </bottom>
      <diagonal/>
    </border>
    <border>
      <left style="thin">
        <color indexed="8"/>
      </left>
      <right style="thin">
        <color indexed="8"/>
      </right>
      <top style="medium">
        <color indexed="1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9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medium">
        <color indexed="8"/>
      </bottom>
      <diagonal/>
    </border>
    <border>
      <left style="thin">
        <color indexed="64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/>
      <right style="medium">
        <color indexed="1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11"/>
      </bottom>
      <diagonal/>
    </border>
    <border>
      <left style="thin">
        <color indexed="8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64"/>
      </bottom>
      <diagonal/>
    </border>
    <border>
      <left style="thin">
        <color indexed="9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8"/>
      </top>
      <bottom style="medium">
        <color indexed="11"/>
      </bottom>
      <diagonal/>
    </border>
    <border>
      <left style="medium">
        <color indexed="8"/>
      </left>
      <right style="thin">
        <color indexed="64"/>
      </right>
      <top style="medium">
        <color indexed="11"/>
      </top>
      <bottom style="medium">
        <color indexed="11"/>
      </bottom>
      <diagonal/>
    </border>
    <border>
      <left style="thin">
        <color indexed="8"/>
      </left>
      <right style="thin">
        <color indexed="64"/>
      </right>
      <top style="medium">
        <color indexed="11"/>
      </top>
      <bottom style="thin">
        <color indexed="8"/>
      </bottom>
      <diagonal/>
    </border>
    <border>
      <left style="thin">
        <color indexed="64"/>
      </left>
      <right style="thin">
        <color indexed="9"/>
      </right>
      <top style="medium">
        <color indexed="8"/>
      </top>
      <bottom style="medium">
        <color indexed="11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 applyNumberFormat="0" applyFill="0" applyBorder="0" applyProtection="0"/>
    <xf numFmtId="165" fontId="10" fillId="0" borderId="0" applyFont="0" applyFill="0" applyBorder="0" applyAlignment="0" applyProtection="0"/>
    <xf numFmtId="0" fontId="6" fillId="0" borderId="5" applyNumberFormat="0" applyFill="0" applyBorder="0" applyProtection="0"/>
    <xf numFmtId="166" fontId="13" fillId="0" borderId="5" applyFont="0" applyFill="0" applyBorder="0" applyAlignment="0" applyProtection="0"/>
  </cellStyleXfs>
  <cellXfs count="454">
    <xf numFmtId="0" fontId="0" fillId="0" borderId="0" xfId="0"/>
    <xf numFmtId="0" fontId="3" fillId="0" borderId="5" xfId="0" applyFont="1" applyBorder="1"/>
    <xf numFmtId="0" fontId="0" fillId="0" borderId="5" xfId="0" applyBorder="1"/>
    <xf numFmtId="0" fontId="5" fillId="0" borderId="5" xfId="0" applyFont="1" applyBorder="1"/>
    <xf numFmtId="0" fontId="2" fillId="0" borderId="5" xfId="0" applyFont="1" applyBorder="1"/>
    <xf numFmtId="0" fontId="0" fillId="0" borderId="5" xfId="0" applyNumberFormat="1" applyBorder="1"/>
    <xf numFmtId="0" fontId="6" fillId="0" borderId="5" xfId="0" applyFont="1" applyBorder="1"/>
    <xf numFmtId="0" fontId="4" fillId="0" borderId="5" xfId="0" applyFont="1" applyBorder="1"/>
    <xf numFmtId="49" fontId="2" fillId="0" borderId="5" xfId="0" applyNumberFormat="1" applyFont="1" applyBorder="1"/>
    <xf numFmtId="49" fontId="1" fillId="2" borderId="40" xfId="0" applyNumberFormat="1" applyFont="1" applyFill="1" applyBorder="1"/>
    <xf numFmtId="167" fontId="2" fillId="0" borderId="40" xfId="0" applyNumberFormat="1" applyFont="1" applyBorder="1"/>
    <xf numFmtId="49" fontId="1" fillId="0" borderId="5" xfId="0" applyNumberFormat="1" applyFont="1" applyBorder="1"/>
    <xf numFmtId="0" fontId="8" fillId="0" borderId="5" xfId="0" applyFont="1" applyBorder="1"/>
    <xf numFmtId="49" fontId="1" fillId="2" borderId="5" xfId="0" applyNumberFormat="1" applyFont="1" applyFill="1" applyBorder="1"/>
    <xf numFmtId="49" fontId="1" fillId="0" borderId="40" xfId="0" applyNumberFormat="1" applyFont="1" applyBorder="1"/>
    <xf numFmtId="49" fontId="1" fillId="0" borderId="40" xfId="0" applyNumberFormat="1" applyFont="1" applyBorder="1" applyAlignment="1">
      <alignment horizontal="center"/>
    </xf>
    <xf numFmtId="0" fontId="1" fillId="0" borderId="5" xfId="0" applyFont="1" applyBorder="1"/>
    <xf numFmtId="0" fontId="1" fillId="2" borderId="5" xfId="0" applyFont="1" applyFill="1" applyBorder="1"/>
    <xf numFmtId="0" fontId="2" fillId="2" borderId="5" xfId="0" applyFont="1" applyFill="1" applyBorder="1"/>
    <xf numFmtId="0" fontId="1" fillId="2" borderId="5" xfId="0" applyNumberFormat="1" applyFont="1" applyFill="1" applyBorder="1"/>
    <xf numFmtId="167" fontId="2" fillId="0" borderId="41" xfId="0" applyNumberFormat="1" applyFont="1" applyBorder="1"/>
    <xf numFmtId="49" fontId="1" fillId="2" borderId="5" xfId="0" applyNumberFormat="1" applyFont="1" applyFill="1" applyBorder="1" applyAlignment="1">
      <alignment horizontal="left"/>
    </xf>
    <xf numFmtId="0" fontId="2" fillId="0" borderId="41" xfId="0" applyNumberFormat="1" applyFont="1" applyBorder="1" applyAlignment="1">
      <alignment horizontal="right"/>
    </xf>
    <xf numFmtId="0" fontId="1" fillId="2" borderId="40" xfId="0" applyFont="1" applyFill="1" applyBorder="1"/>
    <xf numFmtId="167" fontId="2" fillId="0" borderId="42" xfId="0" applyNumberFormat="1" applyFont="1" applyBorder="1"/>
    <xf numFmtId="0" fontId="2" fillId="0" borderId="42" xfId="0" applyNumberFormat="1" applyFont="1" applyBorder="1" applyAlignment="1">
      <alignment horizontal="right"/>
    </xf>
    <xf numFmtId="167" fontId="2" fillId="3" borderId="40" xfId="0" applyNumberFormat="1" applyFont="1" applyFill="1" applyBorder="1"/>
    <xf numFmtId="167" fontId="2" fillId="0" borderId="44" xfId="0" applyNumberFormat="1" applyFont="1" applyBorder="1"/>
    <xf numFmtId="0" fontId="1" fillId="0" borderId="5" xfId="0" applyFont="1" applyBorder="1" applyAlignment="1">
      <alignment horizontal="left"/>
    </xf>
    <xf numFmtId="0" fontId="2" fillId="0" borderId="42" xfId="0" applyFont="1" applyBorder="1" applyAlignment="1">
      <alignment horizontal="right"/>
    </xf>
    <xf numFmtId="0" fontId="2" fillId="2" borderId="40" xfId="0" applyFont="1" applyFill="1" applyBorder="1"/>
    <xf numFmtId="167" fontId="2" fillId="0" borderId="5" xfId="0" applyNumberFormat="1" applyFont="1" applyBorder="1"/>
    <xf numFmtId="0" fontId="2" fillId="0" borderId="5" xfId="0" applyFont="1" applyBorder="1" applyAlignment="1">
      <alignment horizontal="right"/>
    </xf>
    <xf numFmtId="0" fontId="1" fillId="0" borderId="40" xfId="0" applyNumberFormat="1" applyFont="1" applyBorder="1"/>
    <xf numFmtId="0" fontId="2" fillId="0" borderId="40" xfId="0" applyFont="1" applyBorder="1"/>
    <xf numFmtId="49" fontId="1" fillId="2" borderId="40" xfId="0" applyNumberFormat="1" applyFont="1" applyFill="1" applyBorder="1" applyAlignment="1">
      <alignment wrapText="1"/>
    </xf>
    <xf numFmtId="49" fontId="1" fillId="2" borderId="40" xfId="0" applyNumberFormat="1" applyFont="1" applyFill="1" applyBorder="1" applyAlignment="1">
      <alignment horizontal="center"/>
    </xf>
    <xf numFmtId="167" fontId="4" fillId="0" borderId="41" xfId="0" applyNumberFormat="1" applyFont="1" applyBorder="1"/>
    <xf numFmtId="167" fontId="4" fillId="0" borderId="42" xfId="0" applyNumberFormat="1" applyFont="1" applyBorder="1"/>
    <xf numFmtId="0" fontId="9" fillId="0" borderId="5" xfId="0" applyFont="1" applyBorder="1"/>
    <xf numFmtId="0" fontId="6" fillId="0" borderId="42" xfId="0" applyNumberFormat="1" applyFont="1" applyBorder="1"/>
    <xf numFmtId="49" fontId="1" fillId="2" borderId="45" xfId="0" applyNumberFormat="1" applyFont="1" applyFill="1" applyBorder="1" applyAlignment="1">
      <alignment horizontal="right"/>
    </xf>
    <xf numFmtId="0" fontId="1" fillId="2" borderId="5" xfId="0" applyFont="1" applyFill="1" applyBorder="1" applyAlignment="1">
      <alignment horizontal="left"/>
    </xf>
    <xf numFmtId="0" fontId="1" fillId="0" borderId="40" xfId="0" applyFont="1" applyBorder="1"/>
    <xf numFmtId="49" fontId="4" fillId="4" borderId="5" xfId="0" applyNumberFormat="1" applyFont="1" applyFill="1" applyBorder="1" applyAlignment="1">
      <alignment horizontal="left" vertical="top"/>
    </xf>
    <xf numFmtId="167" fontId="4" fillId="0" borderId="5" xfId="0" applyNumberFormat="1" applyFont="1" applyBorder="1"/>
    <xf numFmtId="4" fontId="2" fillId="0" borderId="5" xfId="0" applyNumberFormat="1" applyFont="1" applyBorder="1"/>
    <xf numFmtId="49" fontId="2" fillId="2" borderId="40" xfId="0" applyNumberFormat="1" applyFont="1" applyFill="1" applyBorder="1"/>
    <xf numFmtId="167" fontId="2" fillId="0" borderId="46" xfId="0" applyNumberFormat="1" applyFont="1" applyBorder="1"/>
    <xf numFmtId="49" fontId="1" fillId="5" borderId="44" xfId="0" applyNumberFormat="1" applyFont="1" applyFill="1" applyBorder="1"/>
    <xf numFmtId="0" fontId="1" fillId="5" borderId="44" xfId="0" applyFont="1" applyFill="1" applyBorder="1"/>
    <xf numFmtId="14" fontId="2" fillId="0" borderId="41" xfId="0" applyNumberFormat="1" applyFont="1" applyBorder="1"/>
    <xf numFmtId="14" fontId="1" fillId="0" borderId="5" xfId="0" applyNumberFormat="1" applyFont="1" applyBorder="1" applyAlignment="1">
      <alignment horizontal="left"/>
    </xf>
    <xf numFmtId="0" fontId="2" fillId="8" borderId="40" xfId="0" applyFont="1" applyFill="1" applyBorder="1"/>
    <xf numFmtId="0" fontId="4" fillId="8" borderId="40" xfId="0" applyFont="1" applyFill="1" applyBorder="1"/>
    <xf numFmtId="3" fontId="2" fillId="0" borderId="5" xfId="0" applyNumberFormat="1" applyFont="1" applyBorder="1"/>
    <xf numFmtId="0" fontId="7" fillId="7" borderId="40" xfId="0" applyFont="1" applyFill="1" applyBorder="1" applyAlignment="1">
      <alignment horizontal="center"/>
    </xf>
    <xf numFmtId="0" fontId="7" fillId="8" borderId="40" xfId="0" applyFont="1" applyFill="1" applyBorder="1" applyAlignment="1">
      <alignment horizontal="center"/>
    </xf>
    <xf numFmtId="0" fontId="6" fillId="0" borderId="40" xfId="0" applyFont="1" applyBorder="1"/>
    <xf numFmtId="0" fontId="7" fillId="0" borderId="40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12" fillId="0" borderId="40" xfId="0" applyFont="1" applyBorder="1" applyAlignment="1" applyProtection="1">
      <alignment horizontal="center" vertical="center"/>
      <protection locked="0"/>
    </xf>
    <xf numFmtId="0" fontId="6" fillId="0" borderId="5" xfId="0" quotePrefix="1" applyFont="1" applyBorder="1"/>
    <xf numFmtId="0" fontId="2" fillId="0" borderId="47" xfId="0" applyFont="1" applyBorder="1"/>
    <xf numFmtId="0" fontId="2" fillId="0" borderId="48" xfId="0" applyFont="1" applyBorder="1"/>
    <xf numFmtId="49" fontId="1" fillId="2" borderId="48" xfId="0" applyNumberFormat="1" applyFont="1" applyFill="1" applyBorder="1"/>
    <xf numFmtId="49" fontId="1" fillId="2" borderId="48" xfId="0" applyNumberFormat="1" applyFont="1" applyFill="1" applyBorder="1" applyAlignment="1">
      <alignment wrapText="1"/>
    </xf>
    <xf numFmtId="49" fontId="1" fillId="3" borderId="101" xfId="0" applyNumberFormat="1" applyFont="1" applyFill="1" applyBorder="1" applyAlignment="1">
      <alignment horizontal="center"/>
    </xf>
    <xf numFmtId="0" fontId="1" fillId="8" borderId="40" xfId="0" applyFont="1" applyFill="1" applyBorder="1"/>
    <xf numFmtId="167" fontId="1" fillId="0" borderId="40" xfId="0" applyNumberFormat="1" applyFont="1" applyBorder="1"/>
    <xf numFmtId="0" fontId="2" fillId="0" borderId="40" xfId="0" applyFont="1" applyBorder="1" applyAlignment="1">
      <alignment horizontal="left"/>
    </xf>
    <xf numFmtId="0" fontId="3" fillId="0" borderId="40" xfId="0" applyFont="1" applyBorder="1"/>
    <xf numFmtId="0" fontId="5" fillId="0" borderId="40" xfId="0" applyFont="1" applyBorder="1"/>
    <xf numFmtId="167" fontId="15" fillId="0" borderId="41" xfId="0" applyNumberFormat="1" applyFont="1" applyBorder="1"/>
    <xf numFmtId="167" fontId="15" fillId="0" borderId="42" xfId="0" applyNumberFormat="1" applyFont="1" applyBorder="1"/>
    <xf numFmtId="167" fontId="15" fillId="0" borderId="43" xfId="0" applyNumberFormat="1" applyFont="1" applyBorder="1"/>
    <xf numFmtId="167" fontId="15" fillId="0" borderId="44" xfId="0" applyNumberFormat="1" applyFont="1" applyBorder="1"/>
    <xf numFmtId="167" fontId="15" fillId="0" borderId="44" xfId="0" applyNumberFormat="1" applyFont="1" applyBorder="1" applyAlignment="1">
      <alignment horizontal="right"/>
    </xf>
    <xf numFmtId="0" fontId="16" fillId="0" borderId="41" xfId="0" applyFont="1" applyBorder="1"/>
    <xf numFmtId="49" fontId="1" fillId="0" borderId="5" xfId="0" applyNumberFormat="1" applyFont="1" applyBorder="1" applyAlignment="1">
      <alignment horizontal="right"/>
    </xf>
    <xf numFmtId="164" fontId="15" fillId="0" borderId="44" xfId="0" applyNumberFormat="1" applyFont="1" applyBorder="1"/>
    <xf numFmtId="164" fontId="2" fillId="0" borderId="44" xfId="0" applyNumberFormat="1" applyFont="1" applyBorder="1"/>
    <xf numFmtId="0" fontId="11" fillId="0" borderId="0" xfId="0" applyNumberFormat="1" applyFont="1"/>
    <xf numFmtId="0" fontId="11" fillId="0" borderId="0" xfId="0" applyFont="1"/>
    <xf numFmtId="49" fontId="7" fillId="0" borderId="24" xfId="0" applyNumberFormat="1" applyFont="1" applyBorder="1" applyAlignment="1">
      <alignment horizontal="center"/>
    </xf>
    <xf numFmtId="15" fontId="7" fillId="0" borderId="14" xfId="0" applyNumberFormat="1" applyFont="1" applyBorder="1" applyAlignment="1">
      <alignment horizontal="left"/>
    </xf>
    <xf numFmtId="0" fontId="7" fillId="0" borderId="14" xfId="0" applyFont="1" applyBorder="1" applyAlignment="1">
      <alignment horizontal="center"/>
    </xf>
    <xf numFmtId="0" fontId="7" fillId="0" borderId="64" xfId="0" applyFont="1" applyBorder="1" applyAlignment="1">
      <alignment horizontal="center"/>
    </xf>
    <xf numFmtId="49" fontId="7" fillId="0" borderId="69" xfId="0" applyNumberFormat="1" applyFont="1" applyBorder="1" applyAlignment="1">
      <alignment horizontal="center"/>
    </xf>
    <xf numFmtId="49" fontId="7" fillId="0" borderId="14" xfId="0" applyNumberFormat="1" applyFont="1" applyBorder="1" applyAlignment="1">
      <alignment horizontal="left"/>
    </xf>
    <xf numFmtId="49" fontId="7" fillId="0" borderId="58" xfId="0" applyNumberFormat="1" applyFont="1" applyBorder="1" applyAlignment="1">
      <alignment horizontal="center"/>
    </xf>
    <xf numFmtId="49" fontId="7" fillId="0" borderId="58" xfId="0" applyNumberFormat="1" applyFont="1" applyBorder="1" applyAlignment="1">
      <alignment horizontal="left"/>
    </xf>
    <xf numFmtId="49" fontId="7" fillId="0" borderId="65" xfId="0" applyNumberFormat="1" applyFont="1" applyBorder="1" applyAlignment="1">
      <alignment horizontal="center"/>
    </xf>
    <xf numFmtId="49" fontId="7" fillId="0" borderId="5" xfId="0" applyNumberFormat="1" applyFont="1" applyFill="1" applyBorder="1" applyAlignment="1">
      <alignment horizontal="center"/>
    </xf>
    <xf numFmtId="49" fontId="7" fillId="0" borderId="70" xfId="0" applyNumberFormat="1" applyFont="1" applyBorder="1" applyAlignment="1">
      <alignment horizontal="center"/>
    </xf>
    <xf numFmtId="0" fontId="11" fillId="0" borderId="40" xfId="0" applyNumberFormat="1" applyFont="1" applyBorder="1" applyAlignment="1">
      <alignment horizontal="center" vertical="center"/>
    </xf>
    <xf numFmtId="0" fontId="18" fillId="0" borderId="40" xfId="0" applyNumberFormat="1" applyFont="1" applyBorder="1" applyAlignment="1">
      <alignment horizontal="center" vertical="center" wrapText="1"/>
    </xf>
    <xf numFmtId="0" fontId="11" fillId="0" borderId="40" xfId="0" applyNumberFormat="1" applyFont="1" applyBorder="1" applyAlignment="1">
      <alignment horizontal="center" vertical="center" wrapText="1"/>
    </xf>
    <xf numFmtId="0" fontId="19" fillId="0" borderId="40" xfId="0" applyNumberFormat="1" applyFont="1" applyBorder="1" applyAlignment="1">
      <alignment horizontal="center" vertical="center" wrapText="1"/>
    </xf>
    <xf numFmtId="0" fontId="11" fillId="0" borderId="51" xfId="0" applyNumberFormat="1" applyFont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/>
    </xf>
    <xf numFmtId="49" fontId="7" fillId="3" borderId="26" xfId="0" applyNumberFormat="1" applyFont="1" applyFill="1" applyBorder="1" applyAlignment="1">
      <alignment horizontal="left"/>
    </xf>
    <xf numFmtId="0" fontId="7" fillId="3" borderId="26" xfId="0" applyNumberFormat="1" applyFont="1" applyFill="1" applyBorder="1" applyAlignment="1">
      <alignment horizontal="center"/>
    </xf>
    <xf numFmtId="0" fontId="7" fillId="3" borderId="60" xfId="0" applyFont="1" applyFill="1" applyBorder="1" applyAlignment="1">
      <alignment horizontal="center"/>
    </xf>
    <xf numFmtId="0" fontId="7" fillId="3" borderId="61" xfId="0" applyFont="1" applyFill="1" applyBorder="1" applyAlignment="1">
      <alignment horizontal="center"/>
    </xf>
    <xf numFmtId="49" fontId="7" fillId="3" borderId="56" xfId="0" applyNumberFormat="1" applyFont="1" applyFill="1" applyBorder="1" applyAlignment="1">
      <alignment horizontal="left" vertical="center"/>
    </xf>
    <xf numFmtId="0" fontId="7" fillId="3" borderId="56" xfId="0" applyNumberFormat="1" applyFont="1" applyFill="1" applyBorder="1" applyAlignment="1">
      <alignment horizontal="center"/>
    </xf>
    <xf numFmtId="0" fontId="7" fillId="3" borderId="56" xfId="0" applyFont="1" applyFill="1" applyBorder="1" applyAlignment="1">
      <alignment horizontal="center"/>
    </xf>
    <xf numFmtId="0" fontId="7" fillId="0" borderId="5" xfId="0" applyFont="1" applyBorder="1" applyAlignment="1">
      <alignment horizontal="left" vertical="center"/>
    </xf>
    <xf numFmtId="0" fontId="7" fillId="0" borderId="13" xfId="0" applyFont="1" applyBorder="1" applyAlignment="1">
      <alignment horizontal="center"/>
    </xf>
    <xf numFmtId="168" fontId="7" fillId="0" borderId="5" xfId="0" applyNumberFormat="1" applyFont="1" applyFill="1" applyBorder="1" applyAlignment="1">
      <alignment horizontal="center"/>
    </xf>
    <xf numFmtId="0" fontId="7" fillId="3" borderId="75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 vertical="center"/>
    </xf>
    <xf numFmtId="0" fontId="7" fillId="3" borderId="30" xfId="0" applyFont="1" applyFill="1" applyBorder="1" applyAlignment="1">
      <alignment horizontal="center"/>
    </xf>
    <xf numFmtId="49" fontId="7" fillId="3" borderId="30" xfId="0" applyNumberFormat="1" applyFont="1" applyFill="1" applyBorder="1" applyAlignment="1">
      <alignment horizontal="left"/>
    </xf>
    <xf numFmtId="0" fontId="7" fillId="3" borderId="30" xfId="0" applyNumberFormat="1" applyFont="1" applyFill="1" applyBorder="1" applyAlignment="1">
      <alignment horizontal="center"/>
    </xf>
    <xf numFmtId="0" fontId="7" fillId="3" borderId="77" xfId="0" applyFont="1" applyFill="1" applyBorder="1" applyAlignment="1">
      <alignment horizontal="center"/>
    </xf>
    <xf numFmtId="0" fontId="7" fillId="3" borderId="62" xfId="0" applyFont="1" applyFill="1" applyBorder="1" applyAlignment="1">
      <alignment horizontal="center"/>
    </xf>
    <xf numFmtId="49" fontId="7" fillId="3" borderId="30" xfId="0" applyNumberFormat="1" applyFont="1" applyFill="1" applyBorder="1" applyAlignment="1">
      <alignment horizontal="left" vertical="center"/>
    </xf>
    <xf numFmtId="0" fontId="11" fillId="0" borderId="0" xfId="0" applyNumberFormat="1" applyFont="1" applyAlignment="1">
      <alignment horizontal="left"/>
    </xf>
    <xf numFmtId="0" fontId="11" fillId="0" borderId="5" xfId="0" applyNumberFormat="1" applyFont="1" applyBorder="1"/>
    <xf numFmtId="0" fontId="11" fillId="0" borderId="5" xfId="0" applyNumberFormat="1" applyFont="1" applyFill="1" applyBorder="1"/>
    <xf numFmtId="0" fontId="11" fillId="0" borderId="0" xfId="0" applyNumberFormat="1" applyFont="1" applyAlignment="1">
      <alignment horizontal="left" vertical="center"/>
    </xf>
    <xf numFmtId="0" fontId="7" fillId="0" borderId="29" xfId="0" applyFont="1" applyBorder="1" applyAlignment="1">
      <alignment horizontal="center"/>
    </xf>
    <xf numFmtId="49" fontId="7" fillId="0" borderId="59" xfId="0" applyNumberFormat="1" applyFont="1" applyBorder="1" applyAlignment="1">
      <alignment horizontal="center"/>
    </xf>
    <xf numFmtId="49" fontId="7" fillId="0" borderId="80" xfId="0" applyNumberFormat="1" applyFont="1" applyBorder="1" applyAlignment="1">
      <alignment horizontal="center" vertical="center"/>
    </xf>
    <xf numFmtId="0" fontId="7" fillId="0" borderId="80" xfId="0" applyFont="1" applyBorder="1" applyAlignment="1">
      <alignment horizontal="center"/>
    </xf>
    <xf numFmtId="0" fontId="7" fillId="0" borderId="79" xfId="0" applyFont="1" applyBorder="1" applyAlignment="1">
      <alignment horizontal="center"/>
    </xf>
    <xf numFmtId="49" fontId="7" fillId="0" borderId="81" xfId="0" applyNumberFormat="1" applyFont="1" applyBorder="1" applyAlignment="1">
      <alignment horizontal="center"/>
    </xf>
    <xf numFmtId="49" fontId="7" fillId="0" borderId="82" xfId="0" applyNumberFormat="1" applyFont="1" applyBorder="1" applyAlignment="1">
      <alignment horizontal="left" vertical="center"/>
    </xf>
    <xf numFmtId="0" fontId="7" fillId="0" borderId="82" xfId="0" applyFont="1" applyBorder="1" applyAlignment="1">
      <alignment horizontal="center"/>
    </xf>
    <xf numFmtId="49" fontId="7" fillId="0" borderId="83" xfId="0" applyNumberFormat="1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1" fillId="0" borderId="4" xfId="0" applyFont="1" applyBorder="1"/>
    <xf numFmtId="0" fontId="7" fillId="2" borderId="4" xfId="0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center" vertical="center"/>
    </xf>
    <xf numFmtId="0" fontId="7" fillId="2" borderId="4" xfId="0" applyNumberFormat="1" applyFont="1" applyFill="1" applyBorder="1" applyAlignment="1">
      <alignment horizontal="center"/>
    </xf>
    <xf numFmtId="3" fontId="7" fillId="2" borderId="4" xfId="0" applyNumberFormat="1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49" fontId="7" fillId="0" borderId="80" xfId="0" applyNumberFormat="1" applyFont="1" applyFill="1" applyBorder="1" applyAlignment="1">
      <alignment horizontal="center"/>
    </xf>
    <xf numFmtId="0" fontId="7" fillId="0" borderId="80" xfId="0" applyFont="1" applyFill="1" applyBorder="1" applyAlignment="1">
      <alignment horizontal="center"/>
    </xf>
    <xf numFmtId="49" fontId="7" fillId="0" borderId="7" xfId="0" applyNumberFormat="1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49" fontId="20" fillId="0" borderId="24" xfId="0" applyNumberFormat="1" applyFont="1" applyBorder="1" applyAlignment="1">
      <alignment horizontal="center"/>
    </xf>
    <xf numFmtId="15" fontId="20" fillId="0" borderId="14" xfId="0" applyNumberFormat="1" applyFont="1" applyBorder="1" applyAlignment="1">
      <alignment horizontal="left" vertical="top"/>
    </xf>
    <xf numFmtId="0" fontId="20" fillId="0" borderId="14" xfId="0" applyFont="1" applyBorder="1" applyAlignment="1">
      <alignment horizontal="center"/>
    </xf>
    <xf numFmtId="0" fontId="20" fillId="0" borderId="64" xfId="0" applyFont="1" applyBorder="1" applyAlignment="1">
      <alignment horizontal="center"/>
    </xf>
    <xf numFmtId="49" fontId="20" fillId="0" borderId="80" xfId="0" applyNumberFormat="1" applyFont="1" applyBorder="1" applyAlignment="1">
      <alignment horizontal="center"/>
    </xf>
    <xf numFmtId="49" fontId="20" fillId="0" borderId="80" xfId="0" applyNumberFormat="1" applyFont="1" applyBorder="1" applyAlignment="1">
      <alignment horizontal="left" vertical="top"/>
    </xf>
    <xf numFmtId="0" fontId="20" fillId="0" borderId="80" xfId="0" applyFont="1" applyBorder="1" applyAlignment="1">
      <alignment horizontal="center"/>
    </xf>
    <xf numFmtId="49" fontId="20" fillId="0" borderId="85" xfId="0" applyNumberFormat="1" applyFont="1" applyBorder="1" applyAlignment="1">
      <alignment horizontal="center"/>
    </xf>
    <xf numFmtId="49" fontId="20" fillId="0" borderId="86" xfId="0" applyNumberFormat="1" applyFont="1" applyBorder="1" applyAlignment="1">
      <alignment horizontal="left" vertical="top"/>
    </xf>
    <xf numFmtId="0" fontId="20" fillId="0" borderId="86" xfId="0" applyFont="1" applyBorder="1" applyAlignment="1">
      <alignment horizontal="center"/>
    </xf>
    <xf numFmtId="0" fontId="20" fillId="0" borderId="89" xfId="0" applyFont="1" applyBorder="1" applyAlignment="1">
      <alignment horizontal="center"/>
    </xf>
    <xf numFmtId="49" fontId="20" fillId="0" borderId="96" xfId="0" applyNumberFormat="1" applyFont="1" applyBorder="1" applyAlignment="1">
      <alignment horizontal="center"/>
    </xf>
    <xf numFmtId="0" fontId="20" fillId="0" borderId="96" xfId="0" applyFont="1" applyBorder="1" applyAlignment="1">
      <alignment horizontal="center"/>
    </xf>
    <xf numFmtId="49" fontId="20" fillId="0" borderId="95" xfId="0" applyNumberFormat="1" applyFont="1" applyBorder="1" applyAlignment="1">
      <alignment horizontal="center"/>
    </xf>
    <xf numFmtId="49" fontId="20" fillId="0" borderId="94" xfId="0" applyNumberFormat="1" applyFont="1" applyBorder="1" applyAlignment="1">
      <alignment horizontal="center"/>
    </xf>
    <xf numFmtId="49" fontId="20" fillId="0" borderId="82" xfId="0" applyNumberFormat="1" applyFont="1" applyBorder="1" applyAlignment="1">
      <alignment horizontal="center"/>
    </xf>
    <xf numFmtId="0" fontId="20" fillId="0" borderId="40" xfId="0" applyFont="1" applyBorder="1" applyAlignment="1">
      <alignment horizontal="center"/>
    </xf>
    <xf numFmtId="0" fontId="18" fillId="0" borderId="66" xfId="0" applyFont="1" applyBorder="1" applyAlignment="1">
      <alignment horizontal="center"/>
    </xf>
    <xf numFmtId="0" fontId="18" fillId="0" borderId="67" xfId="0" applyFont="1" applyBorder="1" applyAlignment="1">
      <alignment horizontal="center"/>
    </xf>
    <xf numFmtId="0" fontId="20" fillId="3" borderId="4" xfId="0" applyFont="1" applyFill="1" applyBorder="1" applyAlignment="1">
      <alignment horizontal="center"/>
    </xf>
    <xf numFmtId="0" fontId="20" fillId="3" borderId="4" xfId="0" applyFont="1" applyFill="1" applyBorder="1" applyAlignment="1">
      <alignment horizontal="left" vertical="top"/>
    </xf>
    <xf numFmtId="0" fontId="20" fillId="3" borderId="4" xfId="0" applyNumberFormat="1" applyFont="1" applyFill="1" applyBorder="1" applyAlignment="1">
      <alignment horizontal="center"/>
    </xf>
    <xf numFmtId="0" fontId="20" fillId="3" borderId="2" xfId="0" applyNumberFormat="1" applyFont="1" applyFill="1" applyBorder="1" applyAlignment="1">
      <alignment horizontal="center"/>
    </xf>
    <xf numFmtId="0" fontId="20" fillId="3" borderId="49" xfId="0" applyFont="1" applyFill="1" applyBorder="1" applyAlignment="1">
      <alignment horizontal="center"/>
    </xf>
    <xf numFmtId="0" fontId="20" fillId="3" borderId="50" xfId="0" applyFont="1" applyFill="1" applyBorder="1" applyAlignment="1">
      <alignment horizontal="center"/>
    </xf>
    <xf numFmtId="0" fontId="20" fillId="3" borderId="50" xfId="0" applyNumberFormat="1" applyFont="1" applyFill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2" xfId="0" applyFont="1" applyBorder="1" applyAlignment="1">
      <alignment horizontal="left" vertical="top"/>
    </xf>
    <xf numFmtId="0" fontId="7" fillId="0" borderId="87" xfId="0" applyFont="1" applyBorder="1" applyAlignment="1">
      <alignment horizontal="center"/>
    </xf>
    <xf numFmtId="0" fontId="7" fillId="0" borderId="88" xfId="0" applyFont="1" applyBorder="1" applyAlignment="1">
      <alignment horizontal="center"/>
    </xf>
    <xf numFmtId="49" fontId="20" fillId="0" borderId="69" xfId="0" applyNumberFormat="1" applyFont="1" applyBorder="1" applyAlignment="1">
      <alignment horizontal="center"/>
    </xf>
    <xf numFmtId="15" fontId="20" fillId="0" borderId="14" xfId="0" applyNumberFormat="1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49" fontId="20" fillId="0" borderId="36" xfId="0" applyNumberFormat="1" applyFont="1" applyBorder="1" applyAlignment="1">
      <alignment horizontal="center"/>
    </xf>
    <xf numFmtId="0" fontId="20" fillId="0" borderId="37" xfId="0" applyFont="1" applyBorder="1" applyAlignment="1">
      <alignment horizontal="center"/>
    </xf>
    <xf numFmtId="0" fontId="20" fillId="0" borderId="90" xfId="0" applyFont="1" applyBorder="1" applyAlignment="1">
      <alignment horizontal="center"/>
    </xf>
    <xf numFmtId="49" fontId="20" fillId="0" borderId="93" xfId="0" applyNumberFormat="1" applyFont="1" applyBorder="1" applyAlignment="1">
      <alignment horizontal="center"/>
    </xf>
    <xf numFmtId="0" fontId="20" fillId="0" borderId="38" xfId="0" applyFont="1" applyBorder="1" applyAlignment="1">
      <alignment horizontal="center"/>
    </xf>
    <xf numFmtId="49" fontId="20" fillId="0" borderId="9" xfId="0" applyNumberFormat="1" applyFont="1" applyBorder="1" applyAlignment="1">
      <alignment horizontal="center"/>
    </xf>
    <xf numFmtId="49" fontId="20" fillId="0" borderId="91" xfId="0" applyNumberFormat="1" applyFont="1" applyBorder="1" applyAlignment="1">
      <alignment horizontal="center"/>
    </xf>
    <xf numFmtId="49" fontId="20" fillId="0" borderId="10" xfId="0" applyNumberFormat="1" applyFont="1" applyBorder="1" applyAlignment="1">
      <alignment horizontal="center"/>
    </xf>
    <xf numFmtId="0" fontId="20" fillId="3" borderId="3" xfId="0" applyFont="1" applyFill="1" applyBorder="1" applyAlignment="1">
      <alignment horizontal="center"/>
    </xf>
    <xf numFmtId="0" fontId="11" fillId="0" borderId="0" xfId="0" applyNumberFormat="1" applyFont="1" applyAlignment="1">
      <alignment horizontal="left" vertical="top"/>
    </xf>
    <xf numFmtId="49" fontId="22" fillId="2" borderId="4" xfId="0" applyNumberFormat="1" applyFont="1" applyFill="1" applyBorder="1" applyAlignment="1">
      <alignment horizontal="center"/>
    </xf>
    <xf numFmtId="49" fontId="22" fillId="2" borderId="26" xfId="0" applyNumberFormat="1" applyFont="1" applyFill="1" applyBorder="1" applyAlignment="1">
      <alignment horizontal="center"/>
    </xf>
    <xf numFmtId="0" fontId="22" fillId="3" borderId="26" xfId="0" applyFont="1" applyFill="1" applyBorder="1" applyAlignment="1">
      <alignment horizontal="center"/>
    </xf>
    <xf numFmtId="0" fontId="22" fillId="3" borderId="26" xfId="0" applyNumberFormat="1" applyFont="1" applyFill="1" applyBorder="1" applyAlignment="1">
      <alignment horizontal="center"/>
    </xf>
    <xf numFmtId="0" fontId="22" fillId="0" borderId="5" xfId="0" applyFont="1" applyBorder="1"/>
    <xf numFmtId="0" fontId="22" fillId="0" borderId="4" xfId="0" applyFont="1" applyBorder="1" applyAlignment="1">
      <alignment horizontal="center"/>
    </xf>
    <xf numFmtId="0" fontId="22" fillId="6" borderId="4" xfId="0" applyFont="1" applyFill="1" applyBorder="1" applyAlignment="1">
      <alignment horizontal="center"/>
    </xf>
    <xf numFmtId="0" fontId="22" fillId="0" borderId="4" xfId="0" applyNumberFormat="1" applyFont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0" borderId="8" xfId="0" applyFont="1" applyBorder="1"/>
    <xf numFmtId="49" fontId="23" fillId="2" borderId="40" xfId="0" applyNumberFormat="1" applyFont="1" applyFill="1" applyBorder="1" applyAlignment="1">
      <alignment horizontal="center"/>
    </xf>
    <xf numFmtId="0" fontId="24" fillId="0" borderId="5" xfId="0" applyFont="1" applyBorder="1"/>
    <xf numFmtId="0" fontId="11" fillId="0" borderId="5" xfId="0" applyFont="1" applyBorder="1"/>
    <xf numFmtId="49" fontId="11" fillId="0" borderId="5" xfId="0" applyNumberFormat="1" applyFont="1" applyBorder="1"/>
    <xf numFmtId="49" fontId="23" fillId="0" borderId="40" xfId="0" applyNumberFormat="1" applyFont="1" applyBorder="1"/>
    <xf numFmtId="49" fontId="23" fillId="0" borderId="40" xfId="0" applyNumberFormat="1" applyFont="1" applyBorder="1" applyAlignment="1">
      <alignment horizontal="left" vertical="top"/>
    </xf>
    <xf numFmtId="0" fontId="26" fillId="0" borderId="40" xfId="0" applyFont="1" applyBorder="1"/>
    <xf numFmtId="0" fontId="23" fillId="0" borderId="40" xfId="0" applyFont="1" applyBorder="1"/>
    <xf numFmtId="49" fontId="23" fillId="2" borderId="40" xfId="0" applyNumberFormat="1" applyFont="1" applyFill="1" applyBorder="1"/>
    <xf numFmtId="49" fontId="23" fillId="2" borderId="40" xfId="0" applyNumberFormat="1" applyFont="1" applyFill="1" applyBorder="1" applyAlignment="1">
      <alignment horizontal="center" vertical="center"/>
    </xf>
    <xf numFmtId="0" fontId="7" fillId="0" borderId="40" xfId="0" applyFont="1" applyBorder="1" applyAlignment="1">
      <alignment horizontal="center" vertical="top"/>
    </xf>
    <xf numFmtId="0" fontId="7" fillId="0" borderId="5" xfId="0" applyFont="1" applyBorder="1" applyAlignment="1">
      <alignment horizontal="left" vertical="top"/>
    </xf>
    <xf numFmtId="0" fontId="19" fillId="0" borderId="5" xfId="0" applyFont="1" applyBorder="1"/>
    <xf numFmtId="0" fontId="22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left"/>
    </xf>
    <xf numFmtId="168" fontId="19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0" fillId="0" borderId="40" xfId="0" quotePrefix="1" applyFont="1" applyBorder="1" applyAlignment="1">
      <alignment horizontal="center"/>
    </xf>
    <xf numFmtId="0" fontId="22" fillId="0" borderId="40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7" fillId="7" borderId="40" xfId="0" applyFont="1" applyFill="1" applyBorder="1" applyAlignment="1">
      <alignment horizontal="left" vertical="top"/>
    </xf>
    <xf numFmtId="17" fontId="22" fillId="0" borderId="5" xfId="0" applyNumberFormat="1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4" fillId="0" borderId="5" xfId="0" applyFont="1" applyBorder="1" applyAlignment="1">
      <alignment horizontal="center"/>
    </xf>
    <xf numFmtId="0" fontId="22" fillId="0" borderId="5" xfId="0" applyFont="1" applyBorder="1" applyAlignment="1">
      <alignment horizontal="left" vertical="top"/>
    </xf>
    <xf numFmtId="17" fontId="20" fillId="0" borderId="5" xfId="0" applyNumberFormat="1" applyFont="1" applyBorder="1" applyAlignment="1">
      <alignment horizontal="left" vertical="top"/>
    </xf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0" fontId="24" fillId="0" borderId="5" xfId="0" applyFont="1" applyBorder="1" applyAlignment="1">
      <alignment horizontal="left" vertical="top"/>
    </xf>
    <xf numFmtId="0" fontId="11" fillId="0" borderId="5" xfId="0" applyNumberFormat="1" applyFont="1" applyBorder="1" applyAlignment="1">
      <alignment horizontal="left" vertical="top"/>
    </xf>
    <xf numFmtId="0" fontId="30" fillId="8" borderId="0" xfId="0" applyFont="1" applyFill="1"/>
    <xf numFmtId="0" fontId="30" fillId="0" borderId="0" xfId="0" applyFont="1"/>
    <xf numFmtId="49" fontId="28" fillId="10" borderId="104" xfId="0" applyNumberFormat="1" applyFont="1" applyFill="1" applyBorder="1" applyAlignment="1">
      <alignment horizontal="left"/>
    </xf>
    <xf numFmtId="0" fontId="11" fillId="0" borderId="50" xfId="0" applyFont="1" applyBorder="1" applyAlignment="1">
      <alignment horizontal="center"/>
    </xf>
    <xf numFmtId="0" fontId="11" fillId="0" borderId="50" xfId="0" applyFont="1" applyBorder="1" applyAlignment="1">
      <alignment horizontal="left" vertical="top"/>
    </xf>
    <xf numFmtId="0" fontId="11" fillId="0" borderId="6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67" xfId="0" applyFont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8" borderId="26" xfId="0" applyFont="1" applyFill="1" applyBorder="1" applyAlignment="1">
      <alignment horizontal="center"/>
    </xf>
    <xf numFmtId="0" fontId="11" fillId="0" borderId="74" xfId="0" applyFont="1" applyBorder="1" applyAlignment="1">
      <alignment horizontal="center"/>
    </xf>
    <xf numFmtId="168" fontId="11" fillId="0" borderId="67" xfId="0" applyNumberFormat="1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168" fontId="11" fillId="0" borderId="4" xfId="0" applyNumberFormat="1" applyFont="1" applyBorder="1" applyAlignment="1">
      <alignment horizontal="center"/>
    </xf>
    <xf numFmtId="0" fontId="11" fillId="0" borderId="7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1" fillId="0" borderId="52" xfId="0" applyFont="1" applyBorder="1" applyAlignment="1">
      <alignment horizontal="center" vertical="center"/>
    </xf>
    <xf numFmtId="3" fontId="11" fillId="0" borderId="50" xfId="0" applyNumberFormat="1" applyFont="1" applyBorder="1" applyAlignment="1">
      <alignment horizontal="center"/>
    </xf>
    <xf numFmtId="0" fontId="11" fillId="0" borderId="40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3" fontId="11" fillId="0" borderId="25" xfId="0" applyNumberFormat="1" applyFont="1" applyBorder="1" applyAlignment="1">
      <alignment horizontal="center"/>
    </xf>
    <xf numFmtId="0" fontId="18" fillId="0" borderId="52" xfId="0" applyFont="1" applyBorder="1" applyAlignment="1">
      <alignment vertical="center"/>
    </xf>
    <xf numFmtId="3" fontId="18" fillId="0" borderId="52" xfId="0" applyNumberFormat="1" applyFont="1" applyBorder="1" applyAlignment="1">
      <alignment vertical="center"/>
    </xf>
    <xf numFmtId="0" fontId="18" fillId="0" borderId="40" xfId="0" applyFont="1" applyBorder="1" applyAlignment="1">
      <alignment vertical="center"/>
    </xf>
    <xf numFmtId="0" fontId="18" fillId="0" borderId="40" xfId="0" applyFont="1" applyBorder="1" applyAlignment="1">
      <alignment horizontal="center"/>
    </xf>
    <xf numFmtId="0" fontId="18" fillId="0" borderId="40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52" xfId="0" applyFont="1" applyBorder="1"/>
    <xf numFmtId="0" fontId="18" fillId="0" borderId="40" xfId="0" applyFont="1" applyBorder="1"/>
    <xf numFmtId="0" fontId="18" fillId="0" borderId="39" xfId="0" applyFont="1" applyBorder="1" applyAlignment="1">
      <alignment horizontal="center"/>
    </xf>
    <xf numFmtId="0" fontId="18" fillId="0" borderId="92" xfId="0" applyFont="1" applyBorder="1" applyAlignment="1">
      <alignment horizontal="center"/>
    </xf>
    <xf numFmtId="0" fontId="18" fillId="0" borderId="39" xfId="0" applyNumberFormat="1" applyFont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3" fontId="11" fillId="0" borderId="40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11" fillId="6" borderId="60" xfId="0" applyFont="1" applyFill="1" applyBorder="1" applyAlignment="1">
      <alignment horizontal="center"/>
    </xf>
    <xf numFmtId="0" fontId="11" fillId="0" borderId="56" xfId="0" applyFont="1" applyBorder="1" applyAlignment="1">
      <alignment horizontal="center" vertical="center"/>
    </xf>
    <xf numFmtId="0" fontId="11" fillId="8" borderId="40" xfId="0" applyFont="1" applyFill="1" applyBorder="1" applyAlignment="1">
      <alignment horizontal="center"/>
    </xf>
    <xf numFmtId="0" fontId="11" fillId="6" borderId="40" xfId="0" applyFont="1" applyFill="1" applyBorder="1" applyAlignment="1">
      <alignment horizontal="center"/>
    </xf>
    <xf numFmtId="3" fontId="11" fillId="0" borderId="40" xfId="0" applyNumberFormat="1" applyFont="1" applyBorder="1" applyAlignment="1">
      <alignment vertical="center"/>
    </xf>
    <xf numFmtId="0" fontId="11" fillId="0" borderId="99" xfId="0" applyFont="1" applyBorder="1" applyAlignment="1">
      <alignment horizontal="center"/>
    </xf>
    <xf numFmtId="0" fontId="11" fillId="6" borderId="50" xfId="0" applyFont="1" applyFill="1" applyBorder="1" applyAlignment="1">
      <alignment horizontal="center"/>
    </xf>
    <xf numFmtId="0" fontId="11" fillId="0" borderId="49" xfId="0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/>
    </xf>
    <xf numFmtId="0" fontId="7" fillId="0" borderId="57" xfId="0" applyFont="1" applyBorder="1" applyAlignment="1">
      <alignment horizontal="center"/>
    </xf>
    <xf numFmtId="0" fontId="7" fillId="0" borderId="57" xfId="0" applyFont="1" applyBorder="1" applyAlignment="1">
      <alignment horizontal="center" vertical="center"/>
    </xf>
    <xf numFmtId="167" fontId="15" fillId="0" borderId="40" xfId="0" applyNumberFormat="1" applyFont="1" applyBorder="1"/>
    <xf numFmtId="3" fontId="22" fillId="3" borderId="26" xfId="0" applyNumberFormat="1" applyFont="1" applyFill="1" applyBorder="1" applyAlignment="1">
      <alignment horizontal="center"/>
    </xf>
    <xf numFmtId="49" fontId="1" fillId="10" borderId="5" xfId="0" applyNumberFormat="1" applyFont="1" applyFill="1" applyBorder="1"/>
    <xf numFmtId="0" fontId="2" fillId="10" borderId="5" xfId="0" applyFont="1" applyFill="1" applyBorder="1"/>
    <xf numFmtId="49" fontId="1" fillId="0" borderId="5" xfId="0" applyNumberFormat="1" applyFont="1" applyFill="1" applyBorder="1"/>
    <xf numFmtId="0" fontId="2" fillId="0" borderId="5" xfId="0" applyFont="1" applyFill="1" applyBorder="1"/>
    <xf numFmtId="167" fontId="2" fillId="0" borderId="5" xfId="0" applyNumberFormat="1" applyFont="1" applyFill="1" applyBorder="1"/>
    <xf numFmtId="0" fontId="2" fillId="0" borderId="5" xfId="0" applyFont="1" applyFill="1" applyBorder="1" applyAlignment="1">
      <alignment horizontal="center"/>
    </xf>
    <xf numFmtId="49" fontId="1" fillId="10" borderId="5" xfId="0" applyNumberFormat="1" applyFont="1" applyFill="1" applyBorder="1" applyAlignment="1">
      <alignment horizontal="left"/>
    </xf>
    <xf numFmtId="0" fontId="1" fillId="10" borderId="5" xfId="0" applyFont="1" applyFill="1" applyBorder="1"/>
    <xf numFmtId="0" fontId="2" fillId="0" borderId="105" xfId="0" applyFont="1" applyBorder="1"/>
    <xf numFmtId="0" fontId="2" fillId="0" borderId="41" xfId="0" applyFont="1" applyBorder="1"/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49" fontId="2" fillId="0" borderId="47" xfId="0" applyNumberFormat="1" applyFont="1" applyBorder="1" applyAlignment="1">
      <alignment horizontal="center"/>
    </xf>
    <xf numFmtId="49" fontId="2" fillId="0" borderId="48" xfId="0" applyNumberFormat="1" applyFont="1" applyBorder="1" applyAlignment="1">
      <alignment horizontal="center"/>
    </xf>
    <xf numFmtId="0" fontId="0" fillId="0" borderId="0" xfId="0" applyFill="1"/>
    <xf numFmtId="167" fontId="2" fillId="10" borderId="40" xfId="0" applyNumberFormat="1" applyFont="1" applyFill="1" applyBorder="1"/>
    <xf numFmtId="0" fontId="32" fillId="10" borderId="5" xfId="0" applyFont="1" applyFill="1" applyBorder="1"/>
    <xf numFmtId="0" fontId="29" fillId="9" borderId="84" xfId="0" applyFont="1" applyFill="1" applyBorder="1" applyAlignment="1" applyProtection="1">
      <alignment horizontal="center" vertical="center" shrinkToFit="1"/>
      <protection locked="0"/>
    </xf>
    <xf numFmtId="0" fontId="28" fillId="10" borderId="84" xfId="0" applyFont="1" applyFill="1" applyBorder="1" applyAlignment="1">
      <alignment shrinkToFit="1"/>
    </xf>
    <xf numFmtId="49" fontId="30" fillId="8" borderId="84" xfId="0" applyNumberFormat="1" applyFont="1" applyFill="1" applyBorder="1" applyAlignment="1">
      <alignment horizontal="left"/>
    </xf>
    <xf numFmtId="0" fontId="30" fillId="8" borderId="84" xfId="0" applyFont="1" applyFill="1" applyBorder="1" applyAlignment="1">
      <alignment shrinkToFit="1"/>
    </xf>
    <xf numFmtId="49" fontId="30" fillId="12" borderId="84" xfId="0" applyNumberFormat="1" applyFont="1" applyFill="1" applyBorder="1" applyAlignment="1">
      <alignment horizontal="left"/>
    </xf>
    <xf numFmtId="0" fontId="30" fillId="8" borderId="84" xfId="0" applyFont="1" applyFill="1" applyBorder="1"/>
    <xf numFmtId="0" fontId="31" fillId="8" borderId="84" xfId="0" applyFont="1" applyFill="1" applyBorder="1"/>
    <xf numFmtId="49" fontId="30" fillId="8" borderId="84" xfId="0" applyNumberFormat="1" applyFont="1" applyFill="1" applyBorder="1" applyAlignment="1">
      <alignment horizontal="left" vertical="center"/>
    </xf>
    <xf numFmtId="49" fontId="28" fillId="8" borderId="84" xfId="0" applyNumberFormat="1" applyFont="1" applyFill="1" applyBorder="1" applyAlignment="1">
      <alignment horizontal="left"/>
    </xf>
    <xf numFmtId="169" fontId="30" fillId="8" borderId="84" xfId="0" applyNumberFormat="1" applyFont="1" applyFill="1" applyBorder="1" applyAlignment="1">
      <alignment horizontal="left"/>
    </xf>
    <xf numFmtId="0" fontId="30" fillId="8" borderId="103" xfId="0" applyFont="1" applyFill="1" applyBorder="1"/>
    <xf numFmtId="49" fontId="30" fillId="11" borderId="84" xfId="0" applyNumberFormat="1" applyFont="1" applyFill="1" applyBorder="1" applyAlignment="1">
      <alignment horizontal="left" vertical="center"/>
    </xf>
    <xf numFmtId="49" fontId="28" fillId="10" borderId="84" xfId="0" applyNumberFormat="1" applyFont="1" applyFill="1" applyBorder="1" applyAlignment="1">
      <alignment vertical="center"/>
    </xf>
    <xf numFmtId="166" fontId="30" fillId="8" borderId="84" xfId="3" applyFont="1" applyFill="1" applyBorder="1" applyAlignment="1" applyProtection="1">
      <alignment vertical="center"/>
      <protection hidden="1"/>
    </xf>
    <xf numFmtId="0" fontId="30" fillId="8" borderId="84" xfId="0" applyFont="1" applyFill="1" applyBorder="1" applyAlignment="1" applyProtection="1">
      <alignment vertical="center" shrinkToFit="1"/>
      <protection locked="0"/>
    </xf>
    <xf numFmtId="0" fontId="30" fillId="8" borderId="84" xfId="0" applyFont="1" applyFill="1" applyBorder="1" applyAlignment="1">
      <alignment vertical="top" wrapText="1"/>
    </xf>
    <xf numFmtId="49" fontId="30" fillId="8" borderId="84" xfId="0" applyNumberFormat="1" applyFont="1" applyFill="1" applyBorder="1"/>
    <xf numFmtId="0" fontId="30" fillId="13" borderId="84" xfId="0" applyFont="1" applyFill="1" applyBorder="1"/>
    <xf numFmtId="49" fontId="30" fillId="8" borderId="84" xfId="0" applyNumberFormat="1" applyFont="1" applyFill="1" applyBorder="1" applyAlignment="1">
      <alignment vertical="center"/>
    </xf>
    <xf numFmtId="49" fontId="28" fillId="10" borderId="84" xfId="0" applyNumberFormat="1" applyFont="1" applyFill="1" applyBorder="1"/>
    <xf numFmtId="49" fontId="28" fillId="10" borderId="84" xfId="0" applyNumberFormat="1" applyFont="1" applyFill="1" applyBorder="1" applyAlignment="1">
      <alignment horizontal="left"/>
    </xf>
    <xf numFmtId="0" fontId="30" fillId="8" borderId="84" xfId="0" applyFont="1" applyFill="1" applyBorder="1" applyAlignment="1">
      <alignment wrapText="1"/>
    </xf>
    <xf numFmtId="49" fontId="30" fillId="8" borderId="103" xfId="0" applyNumberFormat="1" applyFont="1" applyFill="1" applyBorder="1" applyAlignment="1">
      <alignment horizontal="left"/>
    </xf>
    <xf numFmtId="49" fontId="30" fillId="8" borderId="104" xfId="0" applyNumberFormat="1" applyFont="1" applyFill="1" applyBorder="1" applyAlignment="1">
      <alignment horizontal="left"/>
    </xf>
    <xf numFmtId="0" fontId="28" fillId="10" borderId="84" xfId="0" applyFont="1" applyFill="1" applyBorder="1"/>
    <xf numFmtId="0" fontId="28" fillId="8" borderId="84" xfId="0" applyFont="1" applyFill="1" applyBorder="1" applyAlignment="1" applyProtection="1">
      <alignment vertical="center" shrinkToFit="1"/>
      <protection locked="0"/>
    </xf>
    <xf numFmtId="165" fontId="14" fillId="14" borderId="40" xfId="1" applyFont="1" applyFill="1" applyBorder="1" applyAlignment="1" applyProtection="1">
      <alignment horizontal="center" vertical="center" shrinkToFit="1"/>
    </xf>
    <xf numFmtId="0" fontId="37" fillId="0" borderId="40" xfId="0" applyNumberFormat="1" applyFont="1" applyBorder="1" applyAlignment="1">
      <alignment horizontal="center" vertical="center"/>
    </xf>
    <xf numFmtId="49" fontId="14" fillId="15" borderId="40" xfId="2" applyNumberFormat="1" applyFont="1" applyFill="1" applyBorder="1" applyAlignment="1">
      <alignment horizontal="center"/>
    </xf>
    <xf numFmtId="0" fontId="14" fillId="15" borderId="40" xfId="0" applyFont="1" applyFill="1" applyBorder="1" applyAlignment="1">
      <alignment horizontal="center"/>
    </xf>
    <xf numFmtId="0" fontId="38" fillId="7" borderId="40" xfId="0" applyFont="1" applyFill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7" fillId="0" borderId="5" xfId="0" applyNumberFormat="1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49" fontId="7" fillId="10" borderId="70" xfId="0" applyNumberFormat="1" applyFont="1" applyFill="1" applyBorder="1" applyAlignment="1">
      <alignment horizontal="center"/>
    </xf>
    <xf numFmtId="49" fontId="23" fillId="10" borderId="40" xfId="0" applyNumberFormat="1" applyFont="1" applyFill="1" applyBorder="1" applyAlignment="1">
      <alignment horizontal="left" vertical="top"/>
    </xf>
    <xf numFmtId="49" fontId="2" fillId="0" borderId="40" xfId="0" applyNumberFormat="1" applyFont="1" applyBorder="1" applyAlignment="1">
      <alignment horizontal="center"/>
    </xf>
    <xf numFmtId="14" fontId="7" fillId="0" borderId="80" xfId="0" applyNumberFormat="1" applyFont="1" applyBorder="1" applyAlignment="1">
      <alignment horizontal="center"/>
    </xf>
    <xf numFmtId="0" fontId="7" fillId="0" borderId="80" xfId="0" applyFont="1" applyFill="1" applyBorder="1" applyAlignment="1">
      <alignment horizontal="left"/>
    </xf>
    <xf numFmtId="14" fontId="7" fillId="0" borderId="80" xfId="0" applyNumberFormat="1" applyFont="1" applyFill="1" applyBorder="1" applyAlignment="1">
      <alignment horizontal="left"/>
    </xf>
    <xf numFmtId="0" fontId="7" fillId="0" borderId="50" xfId="0" applyFont="1" applyBorder="1" applyAlignment="1">
      <alignment horizontal="left" vertical="top"/>
    </xf>
    <xf numFmtId="167" fontId="1" fillId="0" borderId="41" xfId="0" applyNumberFormat="1" applyFont="1" applyBorder="1"/>
    <xf numFmtId="167" fontId="1" fillId="0" borderId="44" xfId="0" applyNumberFormat="1" applyFont="1" applyBorder="1"/>
    <xf numFmtId="167" fontId="39" fillId="0" borderId="42" xfId="0" applyNumberFormat="1" applyFont="1" applyBorder="1"/>
    <xf numFmtId="167" fontId="40" fillId="0" borderId="41" xfId="0" applyNumberFormat="1" applyFont="1" applyBorder="1"/>
    <xf numFmtId="0" fontId="1" fillId="0" borderId="41" xfId="0" applyNumberFormat="1" applyFont="1" applyBorder="1" applyAlignment="1">
      <alignment horizontal="right"/>
    </xf>
    <xf numFmtId="0" fontId="1" fillId="0" borderId="42" xfId="0" applyNumberFormat="1" applyFont="1" applyBorder="1" applyAlignment="1">
      <alignment horizontal="right"/>
    </xf>
    <xf numFmtId="0" fontId="1" fillId="0" borderId="105" xfId="0" applyFont="1" applyBorder="1"/>
    <xf numFmtId="167" fontId="40" fillId="0" borderId="42" xfId="0" applyNumberFormat="1" applyFont="1" applyBorder="1"/>
    <xf numFmtId="167" fontId="1" fillId="0" borderId="46" xfId="0" applyNumberFormat="1" applyFont="1" applyBorder="1"/>
    <xf numFmtId="167" fontId="1" fillId="0" borderId="42" xfId="0" applyNumberFormat="1" applyFont="1" applyBorder="1"/>
    <xf numFmtId="167" fontId="39" fillId="0" borderId="44" xfId="0" applyNumberFormat="1" applyFont="1" applyBorder="1"/>
    <xf numFmtId="167" fontId="39" fillId="0" borderId="44" xfId="0" applyNumberFormat="1" applyFont="1" applyBorder="1" applyAlignment="1">
      <alignment horizontal="right"/>
    </xf>
    <xf numFmtId="164" fontId="39" fillId="0" borderId="44" xfId="0" applyNumberFormat="1" applyFont="1" applyBorder="1"/>
    <xf numFmtId="164" fontId="1" fillId="0" borderId="44" xfId="0" applyNumberFormat="1" applyFont="1" applyBorder="1"/>
    <xf numFmtId="0" fontId="41" fillId="0" borderId="40" xfId="0" applyNumberFormat="1" applyFont="1" applyBorder="1" applyAlignment="1">
      <alignment horizontal="center" vertical="center"/>
    </xf>
    <xf numFmtId="14" fontId="42" fillId="0" borderId="40" xfId="0" applyNumberFormat="1" applyFont="1" applyBorder="1" applyAlignment="1">
      <alignment horizontal="center" vertical="center"/>
    </xf>
    <xf numFmtId="0" fontId="43" fillId="0" borderId="40" xfId="0" applyFont="1" applyBorder="1"/>
    <xf numFmtId="0" fontId="44" fillId="0" borderId="40" xfId="0" applyFont="1" applyBorder="1"/>
    <xf numFmtId="0" fontId="40" fillId="8" borderId="40" xfId="0" applyFont="1" applyFill="1" applyBorder="1"/>
    <xf numFmtId="14" fontId="1" fillId="0" borderId="41" xfId="0" applyNumberFormat="1" applyFont="1" applyBorder="1"/>
    <xf numFmtId="0" fontId="45" fillId="0" borderId="50" xfId="0" applyFont="1" applyBorder="1" applyAlignment="1">
      <alignment horizontal="left" vertical="top"/>
    </xf>
    <xf numFmtId="0" fontId="16" fillId="0" borderId="41" xfId="0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40" xfId="0" applyNumberFormat="1" applyFont="1" applyBorder="1"/>
    <xf numFmtId="0" fontId="6" fillId="0" borderId="40" xfId="0" applyFont="1" applyBorder="1"/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49" fontId="1" fillId="10" borderId="40" xfId="0" applyNumberFormat="1" applyFont="1" applyFill="1" applyBorder="1" applyAlignment="1">
      <alignment horizontal="center"/>
    </xf>
    <xf numFmtId="0" fontId="1" fillId="10" borderId="40" xfId="0" applyFont="1" applyFill="1" applyBorder="1" applyAlignment="1">
      <alignment horizontal="center"/>
    </xf>
    <xf numFmtId="49" fontId="1" fillId="3" borderId="43" xfId="0" applyNumberFormat="1" applyFont="1" applyFill="1" applyBorder="1" applyAlignment="1">
      <alignment horizontal="center"/>
    </xf>
    <xf numFmtId="49" fontId="1" fillId="3" borderId="102" xfId="0" applyNumberFormat="1" applyFont="1" applyFill="1" applyBorder="1" applyAlignment="1">
      <alignment horizontal="center"/>
    </xf>
    <xf numFmtId="49" fontId="1" fillId="0" borderId="47" xfId="0" applyNumberFormat="1" applyFont="1" applyBorder="1" applyAlignment="1">
      <alignment horizontal="center"/>
    </xf>
    <xf numFmtId="49" fontId="1" fillId="0" borderId="48" xfId="0" applyNumberFormat="1" applyFont="1" applyBorder="1" applyAlignment="1">
      <alignment horizontal="center"/>
    </xf>
    <xf numFmtId="49" fontId="1" fillId="2" borderId="40" xfId="0" applyNumberFormat="1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49" fontId="4" fillId="0" borderId="40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center" vertical="center"/>
    </xf>
    <xf numFmtId="49" fontId="4" fillId="0" borderId="48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center" vertical="center" wrapText="1"/>
    </xf>
    <xf numFmtId="49" fontId="4" fillId="0" borderId="48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49" fontId="1" fillId="2" borderId="47" xfId="0" applyNumberFormat="1" applyFont="1" applyFill="1" applyBorder="1" applyAlignment="1">
      <alignment horizontal="center" wrapText="1"/>
    </xf>
    <xf numFmtId="49" fontId="1" fillId="2" borderId="48" xfId="0" applyNumberFormat="1" applyFont="1" applyFill="1" applyBorder="1" applyAlignment="1">
      <alignment horizontal="center" wrapText="1"/>
    </xf>
    <xf numFmtId="49" fontId="7" fillId="2" borderId="23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71" xfId="0" applyFont="1" applyFill="1" applyBorder="1" applyAlignment="1">
      <alignment horizontal="center"/>
    </xf>
    <xf numFmtId="49" fontId="7" fillId="2" borderId="54" xfId="0" applyNumberFormat="1" applyFont="1" applyFill="1" applyBorder="1" applyAlignment="1">
      <alignment horizontal="center"/>
    </xf>
    <xf numFmtId="49" fontId="7" fillId="2" borderId="5" xfId="0" applyNumberFormat="1" applyFont="1" applyFill="1" applyBorder="1" applyAlignment="1">
      <alignment horizontal="center"/>
    </xf>
    <xf numFmtId="49" fontId="7" fillId="2" borderId="55" xfId="0" applyNumberFormat="1" applyFont="1" applyFill="1" applyBorder="1" applyAlignment="1">
      <alignment horizontal="center"/>
    </xf>
    <xf numFmtId="49" fontId="17" fillId="2" borderId="27" xfId="0" applyNumberFormat="1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73" xfId="0" applyFont="1" applyFill="1" applyBorder="1" applyAlignment="1">
      <alignment horizontal="center"/>
    </xf>
    <xf numFmtId="49" fontId="17" fillId="2" borderId="68" xfId="0" applyNumberFormat="1" applyFont="1" applyFill="1" applyBorder="1" applyAlignment="1">
      <alignment horizontal="center"/>
    </xf>
    <xf numFmtId="49" fontId="17" fillId="2" borderId="6" xfId="0" applyNumberFormat="1" applyFont="1" applyFill="1" applyBorder="1" applyAlignment="1">
      <alignment horizontal="center"/>
    </xf>
    <xf numFmtId="49" fontId="17" fillId="2" borderId="22" xfId="0" applyNumberFormat="1" applyFont="1" applyFill="1" applyBorder="1" applyAlignment="1">
      <alignment horizontal="center"/>
    </xf>
    <xf numFmtId="49" fontId="7" fillId="2" borderId="18" xfId="0" applyNumberFormat="1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63" xfId="0" applyFont="1" applyFill="1" applyBorder="1" applyAlignment="1">
      <alignment horizontal="center"/>
    </xf>
    <xf numFmtId="49" fontId="7" fillId="2" borderId="15" xfId="0" applyNumberFormat="1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49" fontId="17" fillId="2" borderId="21" xfId="0" applyNumberFormat="1" applyFont="1" applyFill="1" applyBorder="1" applyAlignment="1">
      <alignment horizontal="center"/>
    </xf>
    <xf numFmtId="49" fontId="17" fillId="2" borderId="76" xfId="0" applyNumberFormat="1" applyFont="1" applyFill="1" applyBorder="1" applyAlignment="1">
      <alignment horizontal="center"/>
    </xf>
    <xf numFmtId="49" fontId="17" fillId="2" borderId="5" xfId="0" applyNumberFormat="1" applyFont="1" applyFill="1" applyBorder="1" applyAlignment="1">
      <alignment horizontal="center"/>
    </xf>
    <xf numFmtId="49" fontId="17" fillId="2" borderId="55" xfId="0" applyNumberFormat="1" applyFont="1" applyFill="1" applyBorder="1" applyAlignment="1">
      <alignment horizontal="center"/>
    </xf>
    <xf numFmtId="0" fontId="7" fillId="2" borderId="72" xfId="0" applyFont="1" applyFill="1" applyBorder="1" applyAlignment="1">
      <alignment horizontal="center"/>
    </xf>
    <xf numFmtId="49" fontId="7" fillId="2" borderId="21" xfId="0" applyNumberFormat="1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55" xfId="0" applyFont="1" applyFill="1" applyBorder="1" applyAlignment="1">
      <alignment horizontal="center"/>
    </xf>
    <xf numFmtId="49" fontId="20" fillId="2" borderId="15" xfId="0" applyNumberFormat="1" applyFont="1" applyFill="1" applyBorder="1" applyAlignment="1">
      <alignment horizontal="center"/>
    </xf>
    <xf numFmtId="0" fontId="20" fillId="2" borderId="16" xfId="0" applyFont="1" applyFill="1" applyBorder="1" applyAlignment="1">
      <alignment horizontal="center"/>
    </xf>
    <xf numFmtId="0" fontId="20" fillId="2" borderId="17" xfId="0" applyFont="1" applyFill="1" applyBorder="1" applyAlignment="1">
      <alignment horizontal="center"/>
    </xf>
    <xf numFmtId="49" fontId="21" fillId="2" borderId="21" xfId="0" applyNumberFormat="1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1" fillId="2" borderId="22" xfId="0" applyFont="1" applyFill="1" applyBorder="1" applyAlignment="1">
      <alignment horizontal="center"/>
    </xf>
    <xf numFmtId="49" fontId="20" fillId="2" borderId="18" xfId="0" applyNumberFormat="1" applyFont="1" applyFill="1" applyBorder="1" applyAlignment="1">
      <alignment horizontal="center"/>
    </xf>
    <xf numFmtId="0" fontId="20" fillId="2" borderId="19" xfId="0" applyFont="1" applyFill="1" applyBorder="1" applyAlignment="1">
      <alignment horizontal="center"/>
    </xf>
    <xf numFmtId="0" fontId="20" fillId="2" borderId="20" xfId="0" applyFont="1" applyFill="1" applyBorder="1" applyAlignment="1">
      <alignment horizontal="center"/>
    </xf>
    <xf numFmtId="49" fontId="21" fillId="2" borderId="23" xfId="0" applyNumberFormat="1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21" fillId="2" borderId="71" xfId="0" applyFont="1" applyFill="1" applyBorder="1" applyAlignment="1">
      <alignment horizontal="center"/>
    </xf>
    <xf numFmtId="49" fontId="20" fillId="0" borderId="82" xfId="0" applyNumberFormat="1" applyFont="1" applyBorder="1" applyAlignment="1">
      <alignment horizontal="center"/>
    </xf>
    <xf numFmtId="0" fontId="20" fillId="3" borderId="97" xfId="0" applyNumberFormat="1" applyFont="1" applyFill="1" applyBorder="1" applyAlignment="1">
      <alignment horizontal="center"/>
    </xf>
    <xf numFmtId="0" fontId="20" fillId="3" borderId="98" xfId="0" applyNumberFormat="1" applyFont="1" applyFill="1" applyBorder="1" applyAlignment="1">
      <alignment horizontal="center"/>
    </xf>
    <xf numFmtId="49" fontId="22" fillId="2" borderId="4" xfId="0" applyNumberFormat="1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49" fontId="22" fillId="2" borderId="33" xfId="0" applyNumberFormat="1" applyFont="1" applyFill="1" applyBorder="1" applyAlignment="1">
      <alignment horizontal="center"/>
    </xf>
    <xf numFmtId="0" fontId="22" fillId="2" borderId="34" xfId="0" applyFont="1" applyFill="1" applyBorder="1" applyAlignment="1">
      <alignment horizontal="center"/>
    </xf>
    <xf numFmtId="0" fontId="22" fillId="2" borderId="35" xfId="0" applyFont="1" applyFill="1" applyBorder="1" applyAlignment="1">
      <alignment horizontal="center"/>
    </xf>
    <xf numFmtId="49" fontId="22" fillId="2" borderId="97" xfId="0" applyNumberFormat="1" applyFont="1" applyFill="1" applyBorder="1" applyAlignment="1">
      <alignment horizontal="center"/>
    </xf>
    <xf numFmtId="0" fontId="22" fillId="2" borderId="100" xfId="0" applyFont="1" applyFill="1" applyBorder="1" applyAlignment="1">
      <alignment horizontal="center"/>
    </xf>
    <xf numFmtId="0" fontId="22" fillId="2" borderId="98" xfId="0" applyFont="1" applyFill="1" applyBorder="1" applyAlignment="1">
      <alignment horizontal="center"/>
    </xf>
    <xf numFmtId="49" fontId="23" fillId="2" borderId="40" xfId="0" applyNumberFormat="1" applyFont="1" applyFill="1" applyBorder="1" applyAlignment="1">
      <alignment horizontal="center"/>
    </xf>
    <xf numFmtId="0" fontId="23" fillId="2" borderId="40" xfId="0" applyFont="1" applyFill="1" applyBorder="1" applyAlignment="1">
      <alignment horizontal="center"/>
    </xf>
    <xf numFmtId="49" fontId="25" fillId="2" borderId="40" xfId="0" applyNumberFormat="1" applyFont="1" applyFill="1" applyBorder="1" applyAlignment="1">
      <alignment horizontal="center"/>
    </xf>
    <xf numFmtId="0" fontId="26" fillId="2" borderId="40" xfId="0" applyFont="1" applyFill="1" applyBorder="1" applyAlignment="1">
      <alignment horizontal="center"/>
    </xf>
    <xf numFmtId="49" fontId="26" fillId="2" borderId="40" xfId="0" applyNumberFormat="1" applyFont="1" applyFill="1" applyBorder="1" applyAlignment="1">
      <alignment horizontal="center"/>
    </xf>
    <xf numFmtId="0" fontId="28" fillId="9" borderId="103" xfId="0" applyFont="1" applyFill="1" applyBorder="1" applyAlignment="1" applyProtection="1">
      <alignment horizontal="center" vertical="center" wrapText="1" shrinkToFit="1"/>
      <protection locked="0"/>
    </xf>
  </cellXfs>
  <cellStyles count="4">
    <cellStyle name="Comma 2" xfId="3" xr:uid="{B8C783DD-1DD7-4BD9-8BFE-F7D45C8A7374}"/>
    <cellStyle name="Currency" xfId="1" builtinId="4"/>
    <cellStyle name="Normal" xfId="0" builtinId="0"/>
    <cellStyle name="Normal 2" xfId="2" xr:uid="{A0F0838B-1D84-47A0-B4F6-579815D0F8C2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2CC"/>
      <rgbColor rgb="FF505050"/>
      <rgbColor rgb="FFFFD966"/>
      <rgbColor rgb="FFFFFFFF"/>
      <rgbColor rgb="FFF4B183"/>
      <rgbColor rgb="FFD9D9D9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'FRONT '!$K$11:$K$12</c:f>
              <c:strCache>
                <c:ptCount val="2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'FRONT '!$H$13:$J$30</c:f>
              <c:multiLvlStrCache>
                <c:ptCount val="18"/>
                <c:lvl>
                  <c:pt idx="17">
                    <c:v>AMOUNT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X</c:v>
                  </c:pt>
                  <c:pt idx="3">
                    <c:v>X</c:v>
                  </c:pt>
                  <c:pt idx="4">
                    <c:v>X</c:v>
                  </c:pt>
                  <c:pt idx="5">
                    <c:v>X</c:v>
                  </c:pt>
                  <c:pt idx="6">
                    <c:v>X</c:v>
                  </c:pt>
                  <c:pt idx="7">
                    <c:v>X</c:v>
                  </c:pt>
                  <c:pt idx="17">
                    <c:v>PARTICULAR/S</c:v>
                  </c:pt>
                </c:lvl>
                <c:lvl>
                  <c:pt idx="0">
                    <c:v>500</c:v>
                  </c:pt>
                  <c:pt idx="1">
                    <c:v>200</c:v>
                  </c:pt>
                  <c:pt idx="2">
                    <c:v>100</c:v>
                  </c:pt>
                  <c:pt idx="3">
                    <c:v>50</c:v>
                  </c:pt>
                  <c:pt idx="4">
                    <c:v>20</c:v>
                  </c:pt>
                  <c:pt idx="5">
                    <c:v>10</c:v>
                  </c:pt>
                  <c:pt idx="6">
                    <c:v>5</c:v>
                  </c:pt>
                  <c:pt idx="7">
                    <c:v>1</c:v>
                  </c:pt>
                  <c:pt idx="10">
                    <c:v>check payment</c:v>
                  </c:pt>
                  <c:pt idx="11">
                    <c:v>TOTAL</c:v>
                  </c:pt>
                  <c:pt idx="16">
                    <c:v>RIDER/DRIVER EXPENSE</c:v>
                  </c:pt>
                  <c:pt idx="17">
                    <c:v>NAME :</c:v>
                  </c:pt>
                </c:lvl>
              </c:multiLvlStrCache>
            </c:multiLvlStrRef>
          </c:cat>
          <c:val>
            <c:numRef>
              <c:f>'FRONT '!$K$13:$K$30</c:f>
              <c:numCache>
                <c:formatCode>" "* #,##0.00" ";" "* \(#,##0.00\);" "* "-"??" "</c:formatCode>
                <c:ptCount val="18"/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8-48A2-8173-9ADEA890B23D}"/>
            </c:ext>
          </c:extLst>
        </c:ser>
        <c:ser>
          <c:idx val="1"/>
          <c:order val="1"/>
          <c:tx>
            <c:strRef>
              <c:f>'FRONT '!$L$11:$L$12</c:f>
              <c:strCache>
                <c:ptCount val="2"/>
                <c:pt idx="0">
                  <c:v>EXPENSES</c:v>
                </c:pt>
                <c:pt idx="1">
                  <c:v>NAME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'FRONT '!$H$13:$J$30</c:f>
              <c:multiLvlStrCache>
                <c:ptCount val="18"/>
                <c:lvl>
                  <c:pt idx="17">
                    <c:v>AMOUNT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X</c:v>
                  </c:pt>
                  <c:pt idx="3">
                    <c:v>X</c:v>
                  </c:pt>
                  <c:pt idx="4">
                    <c:v>X</c:v>
                  </c:pt>
                  <c:pt idx="5">
                    <c:v>X</c:v>
                  </c:pt>
                  <c:pt idx="6">
                    <c:v>X</c:v>
                  </c:pt>
                  <c:pt idx="7">
                    <c:v>X</c:v>
                  </c:pt>
                  <c:pt idx="17">
                    <c:v>PARTICULAR/S</c:v>
                  </c:pt>
                </c:lvl>
                <c:lvl>
                  <c:pt idx="0">
                    <c:v>500</c:v>
                  </c:pt>
                  <c:pt idx="1">
                    <c:v>200</c:v>
                  </c:pt>
                  <c:pt idx="2">
                    <c:v>100</c:v>
                  </c:pt>
                  <c:pt idx="3">
                    <c:v>50</c:v>
                  </c:pt>
                  <c:pt idx="4">
                    <c:v>20</c:v>
                  </c:pt>
                  <c:pt idx="5">
                    <c:v>10</c:v>
                  </c:pt>
                  <c:pt idx="6">
                    <c:v>5</c:v>
                  </c:pt>
                  <c:pt idx="7">
                    <c:v>1</c:v>
                  </c:pt>
                  <c:pt idx="10">
                    <c:v>check payment</c:v>
                  </c:pt>
                  <c:pt idx="11">
                    <c:v>TOTAL</c:v>
                  </c:pt>
                  <c:pt idx="16">
                    <c:v>RIDER/DRIVER EXPENSE</c:v>
                  </c:pt>
                  <c:pt idx="17">
                    <c:v>NAME :</c:v>
                  </c:pt>
                </c:lvl>
              </c:multiLvlStrCache>
            </c:multiLvlStrRef>
          </c:cat>
          <c:val>
            <c:numRef>
              <c:f>'FRONT '!$L$13:$L$30</c:f>
              <c:numCache>
                <c:formatCode>@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>
                  <c:v>0</c:v>
                </c:pt>
                <c:pt idx="15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68-48A2-8173-9ADEA890B23D}"/>
            </c:ext>
          </c:extLst>
        </c:ser>
        <c:ser>
          <c:idx val="2"/>
          <c:order val="2"/>
          <c:tx>
            <c:strRef>
              <c:f>'FRONT '!$M$11:$M$12</c:f>
              <c:strCache>
                <c:ptCount val="2"/>
                <c:pt idx="0">
                  <c:v>EXPENSES</c:v>
                </c:pt>
                <c:pt idx="1">
                  <c:v>PARTICULAR/S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'FRONT '!$H$13:$J$30</c:f>
              <c:multiLvlStrCache>
                <c:ptCount val="18"/>
                <c:lvl>
                  <c:pt idx="17">
                    <c:v>AMOUNT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X</c:v>
                  </c:pt>
                  <c:pt idx="3">
                    <c:v>X</c:v>
                  </c:pt>
                  <c:pt idx="4">
                    <c:v>X</c:v>
                  </c:pt>
                  <c:pt idx="5">
                    <c:v>X</c:v>
                  </c:pt>
                  <c:pt idx="6">
                    <c:v>X</c:v>
                  </c:pt>
                  <c:pt idx="7">
                    <c:v>X</c:v>
                  </c:pt>
                  <c:pt idx="17">
                    <c:v>PARTICULAR/S</c:v>
                  </c:pt>
                </c:lvl>
                <c:lvl>
                  <c:pt idx="0">
                    <c:v>500</c:v>
                  </c:pt>
                  <c:pt idx="1">
                    <c:v>200</c:v>
                  </c:pt>
                  <c:pt idx="2">
                    <c:v>100</c:v>
                  </c:pt>
                  <c:pt idx="3">
                    <c:v>50</c:v>
                  </c:pt>
                  <c:pt idx="4">
                    <c:v>20</c:v>
                  </c:pt>
                  <c:pt idx="5">
                    <c:v>10</c:v>
                  </c:pt>
                  <c:pt idx="6">
                    <c:v>5</c:v>
                  </c:pt>
                  <c:pt idx="7">
                    <c:v>1</c:v>
                  </c:pt>
                  <c:pt idx="10">
                    <c:v>check payment</c:v>
                  </c:pt>
                  <c:pt idx="11">
                    <c:v>TOTAL</c:v>
                  </c:pt>
                  <c:pt idx="16">
                    <c:v>RIDER/DRIVER EXPENSE</c:v>
                  </c:pt>
                  <c:pt idx="17">
                    <c:v>NAME :</c:v>
                  </c:pt>
                </c:lvl>
              </c:multiLvlStrCache>
            </c:multiLvlStrRef>
          </c:cat>
          <c:val>
            <c:numRef>
              <c:f>'FRONT '!$M$13:$M$30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2-1D68-48A2-8173-9ADEA890B23D}"/>
            </c:ext>
          </c:extLst>
        </c:ser>
        <c:ser>
          <c:idx val="3"/>
          <c:order val="3"/>
          <c:tx>
            <c:strRef>
              <c:f>'FRONT '!$N$11:$N$12</c:f>
              <c:strCache>
                <c:ptCount val="2"/>
                <c:pt idx="0">
                  <c:v>EXPENSES</c:v>
                </c:pt>
                <c:pt idx="1">
                  <c:v>AMOUNT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'FRONT '!$H$13:$J$30</c:f>
              <c:multiLvlStrCache>
                <c:ptCount val="18"/>
                <c:lvl>
                  <c:pt idx="17">
                    <c:v>AMOUNT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X</c:v>
                  </c:pt>
                  <c:pt idx="3">
                    <c:v>X</c:v>
                  </c:pt>
                  <c:pt idx="4">
                    <c:v>X</c:v>
                  </c:pt>
                  <c:pt idx="5">
                    <c:v>X</c:v>
                  </c:pt>
                  <c:pt idx="6">
                    <c:v>X</c:v>
                  </c:pt>
                  <c:pt idx="7">
                    <c:v>X</c:v>
                  </c:pt>
                  <c:pt idx="17">
                    <c:v>PARTICULAR/S</c:v>
                  </c:pt>
                </c:lvl>
                <c:lvl>
                  <c:pt idx="0">
                    <c:v>500</c:v>
                  </c:pt>
                  <c:pt idx="1">
                    <c:v>200</c:v>
                  </c:pt>
                  <c:pt idx="2">
                    <c:v>100</c:v>
                  </c:pt>
                  <c:pt idx="3">
                    <c:v>50</c:v>
                  </c:pt>
                  <c:pt idx="4">
                    <c:v>20</c:v>
                  </c:pt>
                  <c:pt idx="5">
                    <c:v>10</c:v>
                  </c:pt>
                  <c:pt idx="6">
                    <c:v>5</c:v>
                  </c:pt>
                  <c:pt idx="7">
                    <c:v>1</c:v>
                  </c:pt>
                  <c:pt idx="10">
                    <c:v>check payment</c:v>
                  </c:pt>
                  <c:pt idx="11">
                    <c:v>TOTAL</c:v>
                  </c:pt>
                  <c:pt idx="16">
                    <c:v>RIDER/DRIVER EXPENSE</c:v>
                  </c:pt>
                  <c:pt idx="17">
                    <c:v>NAME :</c:v>
                  </c:pt>
                </c:lvl>
              </c:multiLvlStrCache>
            </c:multiLvlStrRef>
          </c:cat>
          <c:val>
            <c:numRef>
              <c:f>'FRONT '!$N$13:$N$30</c:f>
              <c:numCache>
                <c:formatCode>" "* #,##0.00" ";" "* \(#,##0.00\);" "* "-"??" "</c:formatCode>
                <c:ptCount val="18"/>
                <c:pt idx="4">
                  <c:v>200</c:v>
                </c:pt>
                <c:pt idx="6">
                  <c:v>137</c:v>
                </c:pt>
                <c:pt idx="11">
                  <c:v>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68-48A2-8173-9ADEA890B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282816"/>
        <c:axId val="185283144"/>
      </c:barChart>
      <c:catAx>
        <c:axId val="18528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83144"/>
        <c:crosses val="autoZero"/>
        <c:auto val="1"/>
        <c:lblAlgn val="ctr"/>
        <c:lblOffset val="100"/>
        <c:noMultiLvlLbl val="0"/>
      </c:catAx>
      <c:valAx>
        <c:axId val="18528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 &quot;* #,##0.00&quot; &quot;;&quot; &quot;* \(#,##0.00\);&quot; &quot;* &quot;-&quot;??&quot; 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8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98" workbookViewId="0" zoomToFit="1"/>
  </sheetViews>
  <pageMargins left="0.7" right="0.7" top="0.75" bottom="0.75" header="0.3" footer="0.3"/>
  <drawing r:id="rId1"/>
</chartsheet>
</file>

<file path=xl/ctrlProps/ctrlProp1.xml><?xml version="1.0" encoding="utf-8"?>
<formControlPr xmlns="http://schemas.microsoft.com/office/spreadsheetml/2009/9/main" objectType="Button"/>
</file>

<file path=xl/ctrlProps/ctrlProp2.xml><?xml version="1.0" encoding="utf-8"?>
<formControlPr xmlns="http://schemas.microsoft.com/office/spreadsheetml/2009/9/main" objectType="Button"/>
</file>

<file path=xl/ctrlProps/ctrlProp3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0255" cy="6288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939800</xdr:colOff>
          <xdr:row>0</xdr:row>
          <xdr:rowOff>0</xdr:rowOff>
        </xdr:from>
        <xdr:to>
          <xdr:col>1</xdr:col>
          <xdr:colOff>1778000</xdr:colOff>
          <xdr:row>2</xdr:row>
          <xdr:rowOff>0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7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 pitchFamily="2" charset="0"/>
                  <a:cs typeface="Arial Narrow" pitchFamily="2" charset="0"/>
                </a:rPr>
                <a:t> UNPROTECT SHEET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939800</xdr:colOff>
          <xdr:row>0</xdr:row>
          <xdr:rowOff>0</xdr:rowOff>
        </xdr:from>
        <xdr:to>
          <xdr:col>0</xdr:col>
          <xdr:colOff>1778000</xdr:colOff>
          <xdr:row>2</xdr:row>
          <xdr:rowOff>0</xdr:rowOff>
        </xdr:to>
        <xdr:sp macro="" textlink="">
          <xdr:nvSpPr>
            <xdr:cNvPr id="15362" name="Button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7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 pitchFamily="2" charset="0"/>
                  <a:cs typeface="Arial Narrow" pitchFamily="2" charset="0"/>
                </a:rPr>
                <a:t> UNPROTECT SHEET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939800</xdr:colOff>
          <xdr:row>2</xdr:row>
          <xdr:rowOff>0</xdr:rowOff>
        </xdr:to>
        <xdr:sp macro="" textlink="">
          <xdr:nvSpPr>
            <xdr:cNvPr id="15363" name="Button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7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800000"/>
                  </a:solidFill>
                  <a:latin typeface="Arial Narrow" pitchFamily="2" charset="0"/>
                  <a:cs typeface="Arial Narrow" pitchFamily="2" charset="0"/>
                </a:rPr>
                <a:t> PROTECT SHEET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40687</xdr:colOff>
      <xdr:row>18</xdr:row>
      <xdr:rowOff>59523</xdr:rowOff>
    </xdr:from>
    <xdr:ext cx="8516486" cy="36032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B8EFFB-092C-4D39-892F-9960F0EE0848}"/>
            </a:ext>
          </a:extLst>
        </xdr:cNvPr>
        <xdr:cNvSpPr txBox="1"/>
      </xdr:nvSpPr>
      <xdr:spPr>
        <a:xfrm rot="20443979">
          <a:off x="2774362" y="3698073"/>
          <a:ext cx="8516486" cy="3603233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45719" tIns="45719" rIns="45719" bIns="45719" numCol="1" spcCol="38100" rtlCol="0" anchor="t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PH" sz="5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                                                                         </a:t>
          </a:r>
          <a:r>
            <a:rPr kumimoji="0" lang="en-PH" sz="11000" b="1" i="1" u="none" strike="noStrike" cap="none" spc="0" normalizeH="0" baseline="0">
              <a:ln>
                <a:noFill/>
              </a:ln>
              <a:solidFill>
                <a:srgbClr val="FF0000"/>
              </a:solidFill>
              <a:effectLst/>
              <a:uFillTx/>
              <a:latin typeface="Segoe UI Variable Text Semibold" pitchFamily="2" charset="0"/>
              <a:ea typeface="Calibri"/>
              <a:cs typeface="Calibri"/>
              <a:sym typeface="Calibri"/>
            </a:rPr>
            <a:t>N O  S A L E  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1aed7956e941d91/AUGUST-2026-INVENTORY-WAREHOUSE.xlsm" TargetMode="External"/><Relationship Id="rId1" Type="http://schemas.openxmlformats.org/officeDocument/2006/relationships/externalLinkPath" Target="https://d.docs.live.net/01aed7956e941d91/AUGUST-2026-INVENTORY-WAREHOUS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"/>
      <sheetName val="  "/>
      <sheetName val="DAILY INVTY COUNT"/>
      <sheetName val="PULL-OUT"/>
      <sheetName val="LEDGER1"/>
      <sheetName val="DR-SALES"/>
      <sheetName val="LEDGER2"/>
      <sheetName val="SUPPLIER'S FORM"/>
      <sheetName val="LEDGER3"/>
      <sheetName val="TRANSFER-IN"/>
      <sheetName val="LEDGER4"/>
      <sheetName val="CREDIT NOTES"/>
      <sheetName val="Cash &amp; AR-daily"/>
      <sheetName val="instructions"/>
      <sheetName val="AUGUST-2026-INVENTORY-WAREHOUSE"/>
    </sheetNames>
    <definedNames>
      <definedName name="Module1.PROTECT"/>
      <definedName name="UNPROTEC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FF33"/>
    <pageSetUpPr fitToPage="1"/>
  </sheetPr>
  <dimension ref="A1:IX114"/>
  <sheetViews>
    <sheetView showGridLines="0" tabSelected="1" showWhiteSpace="0" zoomScaleNormal="100" zoomScaleSheetLayoutView="100" zoomScalePageLayoutView="40" workbookViewId="0">
      <selection sqref="A1:N65"/>
    </sheetView>
  </sheetViews>
  <sheetFormatPr baseColWidth="10" defaultColWidth="8.83203125" defaultRowHeight="15" customHeight="1"/>
  <cols>
    <col min="1" max="1" width="10.1640625" style="5" customWidth="1"/>
    <col min="2" max="2" width="30.83203125" style="5" customWidth="1"/>
    <col min="3" max="3" width="14.5" style="5" customWidth="1"/>
    <col min="4" max="4" width="12.33203125" style="5" customWidth="1"/>
    <col min="5" max="5" width="21.83203125" style="5" customWidth="1"/>
    <col min="6" max="6" width="16" style="5" customWidth="1"/>
    <col min="7" max="7" width="8" style="5" customWidth="1"/>
    <col min="8" max="8" width="22.1640625" style="5" customWidth="1"/>
    <col min="9" max="9" width="15.5" style="5" customWidth="1"/>
    <col min="10" max="10" width="9.5" style="5" customWidth="1"/>
    <col min="11" max="11" width="11.6640625" style="5" customWidth="1"/>
    <col min="12" max="12" width="10.1640625" style="5" customWidth="1"/>
    <col min="13" max="13" width="13.5" style="5" customWidth="1"/>
    <col min="14" max="14" width="10.5" style="5" customWidth="1"/>
    <col min="15" max="255" width="8.83203125" style="5" hidden="1" customWidth="1"/>
    <col min="256" max="257" width="8.83203125" style="2"/>
    <col min="258" max="258" width="12.33203125" style="2" customWidth="1"/>
    <col min="259" max="16384" width="8.83203125" style="2"/>
  </cols>
  <sheetData>
    <row r="1" spans="1:258" ht="18.75" customHeight="1">
      <c r="A1" s="293" t="s">
        <v>0</v>
      </c>
      <c r="B1" s="11"/>
      <c r="C1" s="4"/>
      <c r="D1" s="12"/>
      <c r="E1" s="12"/>
      <c r="F1" s="12"/>
      <c r="G1" s="4"/>
      <c r="H1" s="385" t="s">
        <v>1</v>
      </c>
      <c r="I1" s="386"/>
      <c r="J1" s="386"/>
      <c r="K1" s="386"/>
      <c r="L1" s="386"/>
      <c r="M1" s="386"/>
      <c r="N1" s="386"/>
    </row>
    <row r="2" spans="1:258" ht="15.75" customHeight="1">
      <c r="A2" s="13" t="s">
        <v>1343</v>
      </c>
      <c r="B2" s="52">
        <v>46287</v>
      </c>
      <c r="C2" s="4"/>
      <c r="E2" s="309" t="s">
        <v>149</v>
      </c>
      <c r="F2" s="52">
        <v>46287</v>
      </c>
      <c r="G2" s="4"/>
      <c r="H2" s="9" t="s">
        <v>2</v>
      </c>
      <c r="I2" s="14" t="s">
        <v>3</v>
      </c>
      <c r="J2" s="14" t="s">
        <v>4</v>
      </c>
      <c r="K2" s="15" t="s">
        <v>5</v>
      </c>
      <c r="L2" s="14" t="s">
        <v>6</v>
      </c>
      <c r="M2" s="15" t="s">
        <v>7</v>
      </c>
      <c r="N2" s="15" t="s">
        <v>8</v>
      </c>
    </row>
    <row r="3" spans="1:258" ht="15" customHeight="1">
      <c r="A3" s="16"/>
      <c r="B3" s="16"/>
      <c r="C3" s="4"/>
      <c r="D3" s="4"/>
      <c r="E3" s="4"/>
      <c r="F3" s="4"/>
      <c r="G3" s="4"/>
      <c r="H3" s="9" t="s">
        <v>9</v>
      </c>
      <c r="I3" s="72">
        <f>DELIVERY!D29+DELIVERY!L29</f>
        <v>4650</v>
      </c>
      <c r="J3" s="72">
        <f>DELIVERY!E29+DELIVERY!M29</f>
        <v>137</v>
      </c>
      <c r="K3" s="72">
        <f>I3+J3</f>
        <v>4787</v>
      </c>
      <c r="L3" s="72"/>
      <c r="M3" s="72">
        <f>K3-L3</f>
        <v>4787</v>
      </c>
      <c r="N3" s="10"/>
    </row>
    <row r="4" spans="1:258" ht="15" customHeight="1">
      <c r="A4" s="13" t="s">
        <v>10</v>
      </c>
      <c r="B4" s="17"/>
      <c r="C4" s="18"/>
      <c r="D4" s="4"/>
      <c r="E4" s="13" t="s">
        <v>11</v>
      </c>
      <c r="F4" s="18"/>
      <c r="G4" s="4"/>
      <c r="H4" s="9" t="s">
        <v>28</v>
      </c>
      <c r="I4" s="10">
        <f>DELIVERY!D59+DELIVERY!L59</f>
        <v>0</v>
      </c>
      <c r="J4" s="10">
        <f>DELIVERY!E59+DELIVERY!M59</f>
        <v>0</v>
      </c>
      <c r="K4" s="10">
        <f>I4+J4</f>
        <v>0</v>
      </c>
      <c r="L4" s="10"/>
      <c r="M4" s="10">
        <f>K4-L4</f>
        <v>0</v>
      </c>
      <c r="N4" s="10"/>
    </row>
    <row r="5" spans="1:258" ht="15.75" customHeight="1" thickBot="1">
      <c r="A5" s="4"/>
      <c r="B5" s="19" t="s">
        <v>12</v>
      </c>
      <c r="C5" s="351">
        <f>'WALK IN'!D30</f>
        <v>3375</v>
      </c>
      <c r="D5" s="4"/>
      <c r="E5" s="21" t="s">
        <v>13</v>
      </c>
      <c r="F5" s="355">
        <f>'WALK IN'!C30+'WALK IN'!I30</f>
        <v>8</v>
      </c>
      <c r="G5" s="4"/>
      <c r="H5" s="23"/>
      <c r="I5" s="291">
        <v>0</v>
      </c>
      <c r="J5" s="10">
        <v>0</v>
      </c>
      <c r="K5" s="10">
        <f>I5+J5</f>
        <v>0</v>
      </c>
      <c r="L5" s="10"/>
      <c r="M5" s="10">
        <f>K5-L5</f>
        <v>0</v>
      </c>
      <c r="N5" s="10"/>
    </row>
    <row r="6" spans="1:258" ht="15.75" customHeight="1" thickBot="1">
      <c r="A6" s="4"/>
      <c r="B6" s="19" t="s">
        <v>14</v>
      </c>
      <c r="C6" s="24">
        <f>DELIVERY!D29+DELIVERY!D59+DELIVERY!D93+DELIVERY!D126</f>
        <v>0</v>
      </c>
      <c r="D6" s="6"/>
      <c r="E6" s="21" t="s">
        <v>15</v>
      </c>
      <c r="F6" s="356">
        <f>DELIVERY!C29+DELIVERY!K29+DELIVERY!C59+DELIVERY!K59</f>
        <v>4</v>
      </c>
      <c r="G6" s="4"/>
      <c r="H6" s="23"/>
      <c r="I6" s="291">
        <v>0</v>
      </c>
      <c r="J6" s="10">
        <v>0</v>
      </c>
      <c r="K6" s="10">
        <f>I6+J6</f>
        <v>0</v>
      </c>
      <c r="L6" s="10"/>
      <c r="M6" s="10">
        <f>K6-L6</f>
        <v>0</v>
      </c>
      <c r="N6" s="10"/>
    </row>
    <row r="7" spans="1:258" ht="15.75" customHeight="1" thickBot="1">
      <c r="A7" s="4"/>
      <c r="B7" s="19" t="s">
        <v>16</v>
      </c>
      <c r="C7" s="24">
        <f>'WALK IN'!D55</f>
        <v>0</v>
      </c>
      <c r="D7" s="6"/>
      <c r="E7" s="21" t="s">
        <v>17</v>
      </c>
      <c r="F7" s="25">
        <f>'WALK IN'!C55+'WALK IN'!I55+DELIVERY!C93+DELIVERY!K93+SHIPPING!C46</f>
        <v>0</v>
      </c>
      <c r="G7" s="4"/>
      <c r="H7" s="23"/>
      <c r="I7" s="291"/>
      <c r="J7" s="10"/>
      <c r="K7" s="10"/>
      <c r="L7" s="10"/>
      <c r="M7" s="10"/>
      <c r="N7" s="10"/>
    </row>
    <row r="8" spans="1:258" ht="15.75" customHeight="1" thickBot="1">
      <c r="A8" s="4"/>
      <c r="B8" s="19" t="s">
        <v>18</v>
      </c>
      <c r="C8" s="24">
        <f>'WALK IN'!D83</f>
        <v>0</v>
      </c>
      <c r="D8" s="6"/>
      <c r="E8" s="21" t="s">
        <v>19</v>
      </c>
      <c r="F8" s="25">
        <f>'WALK IN'!C83+'WALK IN'!I83+DELIVERY!C126+DELIVERY!K126+SHIPPING!K46</f>
        <v>0</v>
      </c>
      <c r="G8" s="4"/>
      <c r="H8" s="23"/>
      <c r="I8" s="291"/>
      <c r="J8" s="10"/>
      <c r="K8" s="10"/>
      <c r="L8" s="10"/>
      <c r="M8" s="10"/>
      <c r="N8" s="10"/>
    </row>
    <row r="9" spans="1:258" ht="15.75" customHeight="1" thickBot="1">
      <c r="A9" s="4"/>
      <c r="B9" s="19" t="s">
        <v>1341</v>
      </c>
      <c r="C9" s="24">
        <f>'WALK IN'!D111+DELIVERY!D159</f>
        <v>0</v>
      </c>
      <c r="D9" s="4"/>
      <c r="E9" s="13" t="s">
        <v>21</v>
      </c>
      <c r="F9" s="25">
        <f>SHIPPING!C19+SHIPPING!K19</f>
        <v>0</v>
      </c>
      <c r="G9" s="4"/>
      <c r="H9" s="9" t="s">
        <v>151</v>
      </c>
      <c r="I9" s="72">
        <f>I3+I4+I5+I6</f>
        <v>4650</v>
      </c>
      <c r="J9" s="72">
        <f>J3+J4+J5+J6</f>
        <v>137</v>
      </c>
      <c r="K9" s="72">
        <f>K3+K4+K5+K6</f>
        <v>4787</v>
      </c>
      <c r="L9" s="26">
        <f>SUM(L3:L8)</f>
        <v>0</v>
      </c>
      <c r="M9" s="72">
        <f>SUM(M3:M8)</f>
        <v>4787</v>
      </c>
      <c r="N9" s="10"/>
    </row>
    <row r="10" spans="1:258" ht="17.25" customHeight="1" thickBot="1">
      <c r="A10" s="4"/>
      <c r="B10" s="19" t="s">
        <v>20</v>
      </c>
      <c r="C10" s="24">
        <f>DELIVERY!E29+DELIVERY!E59+DELIVERY!E159</f>
        <v>0</v>
      </c>
      <c r="D10" s="28"/>
      <c r="E10" s="21" t="s">
        <v>23</v>
      </c>
      <c r="F10" s="25">
        <v>0</v>
      </c>
      <c r="G10" s="4"/>
      <c r="H10" s="4"/>
      <c r="I10" s="4"/>
      <c r="J10" s="4"/>
      <c r="K10" s="4"/>
      <c r="L10" s="4"/>
      <c r="M10" s="4"/>
      <c r="N10" s="4"/>
    </row>
    <row r="11" spans="1:258" ht="16" customHeight="1" thickBot="1">
      <c r="A11" s="4"/>
      <c r="B11" s="19" t="s">
        <v>22</v>
      </c>
      <c r="C11" s="352">
        <f>C5+C6++C7+C8+C10</f>
        <v>3375</v>
      </c>
      <c r="D11" s="4"/>
      <c r="E11" s="299" t="s">
        <v>24</v>
      </c>
      <c r="F11" s="29">
        <v>0</v>
      </c>
      <c r="G11" s="4"/>
      <c r="H11" s="395" t="s">
        <v>25</v>
      </c>
      <c r="I11" s="396"/>
      <c r="J11" s="23" t="s">
        <v>1366</v>
      </c>
      <c r="K11" s="23"/>
      <c r="L11" s="9" t="s">
        <v>26</v>
      </c>
      <c r="M11" s="23"/>
      <c r="N11" s="30"/>
    </row>
    <row r="12" spans="1:258" ht="16" customHeight="1" thickBot="1">
      <c r="A12" s="4"/>
      <c r="B12" s="16"/>
      <c r="C12" s="31"/>
      <c r="D12" s="4"/>
      <c r="E12" s="300" t="s">
        <v>1328</v>
      </c>
      <c r="F12" s="29">
        <f>'WALK IN'!C111+'WALK IN'!I111+DELIVERY!C159+DELIVERY!K159+SHIPPING!C74</f>
        <v>0</v>
      </c>
      <c r="G12" s="4"/>
      <c r="H12" s="33">
        <v>1000</v>
      </c>
      <c r="I12" s="346" t="s">
        <v>27</v>
      </c>
      <c r="J12" s="71"/>
      <c r="K12" s="72"/>
      <c r="L12" s="35" t="s">
        <v>28</v>
      </c>
      <c r="M12" s="9" t="s">
        <v>29</v>
      </c>
      <c r="N12" s="36" t="s">
        <v>30</v>
      </c>
      <c r="IX12" s="65"/>
    </row>
    <row r="13" spans="1:258" ht="15.75" customHeight="1" thickBot="1">
      <c r="A13" s="4"/>
      <c r="B13" s="13" t="s">
        <v>31</v>
      </c>
      <c r="C13" s="76">
        <f>'CREDIT CARD'!E21</f>
        <v>0</v>
      </c>
      <c r="D13" s="4"/>
      <c r="E13" s="6"/>
      <c r="F13" s="6"/>
      <c r="G13" s="4"/>
      <c r="H13" s="33">
        <v>500</v>
      </c>
      <c r="I13" s="346" t="s">
        <v>27</v>
      </c>
      <c r="J13" s="71"/>
      <c r="K13" s="72"/>
      <c r="L13" s="387" t="s">
        <v>32</v>
      </c>
      <c r="M13" s="388"/>
      <c r="N13" s="10"/>
    </row>
    <row r="14" spans="1:258" ht="15.75" customHeight="1" thickBot="1">
      <c r="A14" s="4"/>
      <c r="B14" s="13" t="s">
        <v>33</v>
      </c>
      <c r="C14" s="77">
        <f>'CREDIT CARD'!E74+'CREDIT CARD'!E99+'CREDIT CARD'!E124</f>
        <v>0</v>
      </c>
      <c r="D14" s="4"/>
      <c r="E14" s="6"/>
      <c r="F14" s="6"/>
      <c r="G14" s="4"/>
      <c r="H14" s="33">
        <v>200</v>
      </c>
      <c r="I14" s="346" t="s">
        <v>27</v>
      </c>
      <c r="J14" s="71"/>
      <c r="K14" s="72"/>
      <c r="L14" s="387" t="s">
        <v>34</v>
      </c>
      <c r="M14" s="388"/>
      <c r="N14" s="10"/>
    </row>
    <row r="15" spans="1:258" ht="15.75" customHeight="1" thickBot="1">
      <c r="A15" s="4"/>
      <c r="B15" s="13" t="s">
        <v>1340</v>
      </c>
      <c r="C15" s="77">
        <f>'CREDIT CARD'!E49</f>
        <v>0</v>
      </c>
      <c r="D15" s="4"/>
      <c r="E15" s="6"/>
      <c r="F15" s="6"/>
      <c r="G15" s="4"/>
      <c r="H15" s="33">
        <v>100</v>
      </c>
      <c r="I15" s="346" t="s">
        <v>27</v>
      </c>
      <c r="J15" s="71"/>
      <c r="K15" s="72"/>
      <c r="L15" s="391" t="s">
        <v>136</v>
      </c>
      <c r="M15" s="392"/>
      <c r="N15" s="10"/>
    </row>
    <row r="16" spans="1:258" ht="15.75" customHeight="1" thickBot="1">
      <c r="A16" s="4"/>
      <c r="B16" s="13" t="s">
        <v>35</v>
      </c>
      <c r="C16" s="353">
        <f>'WALK IN'!J30</f>
        <v>2300</v>
      </c>
      <c r="D16" s="39"/>
      <c r="E16" s="13" t="s">
        <v>36</v>
      </c>
      <c r="F16" s="355">
        <f>DELIVERY!E29+DELIVERY!M29+DELIVERY!E93+DELIVERY!M93+DELIVERY!E126+DELIVERY!M126</f>
        <v>137</v>
      </c>
      <c r="G16" s="4"/>
      <c r="H16" s="33">
        <v>50</v>
      </c>
      <c r="I16" s="346" t="s">
        <v>27</v>
      </c>
      <c r="J16" s="71"/>
      <c r="K16" s="72"/>
      <c r="L16" s="389" t="s">
        <v>39</v>
      </c>
      <c r="M16" s="390"/>
      <c r="N16" s="10"/>
    </row>
    <row r="17" spans="1:14" ht="15.75" customHeight="1" thickBot="1">
      <c r="A17" s="4"/>
      <c r="B17" s="13" t="s">
        <v>37</v>
      </c>
      <c r="C17" s="77">
        <f>'WALK IN'!$J$55</f>
        <v>0</v>
      </c>
      <c r="D17" s="39"/>
      <c r="E17" s="21" t="s">
        <v>38</v>
      </c>
      <c r="F17" s="25">
        <f>'CREDIT CARD'!F21</f>
        <v>0</v>
      </c>
      <c r="G17" s="4"/>
      <c r="H17" s="33">
        <v>20</v>
      </c>
      <c r="I17" s="346" t="s">
        <v>27</v>
      </c>
      <c r="J17" s="71"/>
      <c r="K17" s="72"/>
      <c r="L17" s="389" t="s">
        <v>138</v>
      </c>
      <c r="M17" s="390"/>
      <c r="N17" s="72">
        <v>200</v>
      </c>
    </row>
    <row r="18" spans="1:14" ht="15.75" customHeight="1" thickBot="1">
      <c r="A18" s="4"/>
      <c r="B18" s="13" t="s">
        <v>40</v>
      </c>
      <c r="C18" s="77">
        <f>'WALK IN'!$J$83</f>
        <v>0</v>
      </c>
      <c r="D18" s="39"/>
      <c r="E18" s="21" t="s">
        <v>41</v>
      </c>
      <c r="F18" s="29"/>
      <c r="G18" s="4"/>
      <c r="H18" s="33">
        <v>10</v>
      </c>
      <c r="I18" s="346" t="s">
        <v>27</v>
      </c>
      <c r="J18" s="71"/>
      <c r="K18" s="72"/>
      <c r="L18" s="393" t="s">
        <v>132</v>
      </c>
      <c r="M18" s="394"/>
      <c r="N18" s="10"/>
    </row>
    <row r="19" spans="1:14" ht="15.75" customHeight="1" thickBot="1">
      <c r="A19" s="4"/>
      <c r="B19" s="13" t="s">
        <v>1324</v>
      </c>
      <c r="C19" s="77">
        <f>'WALK IN'!J111</f>
        <v>0</v>
      </c>
      <c r="D19" s="39"/>
      <c r="E19" s="21" t="s">
        <v>43</v>
      </c>
      <c r="F19" s="40">
        <f>DELIVERY!$L$126</f>
        <v>0</v>
      </c>
      <c r="G19" s="4"/>
      <c r="H19" s="33">
        <v>5</v>
      </c>
      <c r="I19" s="346" t="s">
        <v>27</v>
      </c>
      <c r="J19" s="71"/>
      <c r="K19" s="72"/>
      <c r="L19" s="389" t="s">
        <v>140</v>
      </c>
      <c r="M19" s="390"/>
      <c r="N19" s="72">
        <v>137</v>
      </c>
    </row>
    <row r="20" spans="1:14" ht="15.75" customHeight="1" thickBot="1">
      <c r="A20" s="4"/>
      <c r="B20" s="13" t="s">
        <v>42</v>
      </c>
      <c r="C20" s="353">
        <f>DELIVERY!$L$29</f>
        <v>4650</v>
      </c>
      <c r="D20" s="4"/>
      <c r="E20" s="21" t="s">
        <v>45</v>
      </c>
      <c r="F20" s="25">
        <f>SHIPPING!E19+SHIPPING!E46+SHIPPING!M46</f>
        <v>0</v>
      </c>
      <c r="G20" s="4"/>
      <c r="H20" s="33">
        <v>1</v>
      </c>
      <c r="I20" s="346" t="s">
        <v>27</v>
      </c>
      <c r="J20" s="369"/>
      <c r="K20" s="72"/>
      <c r="L20" s="305"/>
      <c r="M20" s="306"/>
      <c r="N20" s="10"/>
    </row>
    <row r="21" spans="1:14" ht="15.75" customHeight="1" thickBot="1">
      <c r="A21" s="4"/>
      <c r="B21" s="13" t="s">
        <v>44</v>
      </c>
      <c r="C21" s="77">
        <f>DELIVERY!$L$93</f>
        <v>0</v>
      </c>
      <c r="D21" s="4"/>
      <c r="E21" s="21" t="s">
        <v>1329</v>
      </c>
      <c r="F21" s="302">
        <f>DELIVERY!E159+DELIVERY!M159+SHIPPING!E74</f>
        <v>0</v>
      </c>
      <c r="G21" s="4"/>
      <c r="H21" s="33"/>
      <c r="I21" s="8"/>
      <c r="J21" s="54"/>
      <c r="K21" s="10"/>
      <c r="L21" s="305"/>
      <c r="M21" s="306"/>
      <c r="N21" s="10"/>
    </row>
    <row r="22" spans="1:14" ht="15.75" customHeight="1" thickBot="1">
      <c r="A22" s="4"/>
      <c r="B22" s="13" t="s">
        <v>46</v>
      </c>
      <c r="C22" s="77">
        <f>DELIVERY!$L$126</f>
        <v>0</v>
      </c>
      <c r="D22" s="4"/>
      <c r="E22" s="41" t="s">
        <v>7</v>
      </c>
      <c r="F22" s="357">
        <f>SUM(F16:F21)</f>
        <v>137</v>
      </c>
      <c r="G22" s="4"/>
      <c r="H22" s="43"/>
      <c r="J22" s="53"/>
      <c r="K22" s="10"/>
      <c r="L22" s="303"/>
      <c r="M22" s="304"/>
      <c r="N22" s="10"/>
    </row>
    <row r="23" spans="1:14" ht="15.75" customHeight="1" thickBot="1">
      <c r="A23" s="4"/>
      <c r="B23" s="13" t="s">
        <v>1325</v>
      </c>
      <c r="C23" s="77">
        <f>DELIVERY!L159</f>
        <v>0</v>
      </c>
      <c r="D23" s="4"/>
      <c r="E23" s="42"/>
      <c r="F23" s="32"/>
      <c r="G23" s="4"/>
      <c r="H23" s="14" t="s">
        <v>49</v>
      </c>
      <c r="I23" s="34"/>
      <c r="J23" s="34"/>
      <c r="K23" s="10"/>
      <c r="L23" s="303"/>
      <c r="M23" s="304"/>
      <c r="N23" s="10"/>
    </row>
    <row r="24" spans="1:14" ht="15.75" customHeight="1" thickBot="1">
      <c r="A24" s="4"/>
      <c r="B24" s="13" t="s">
        <v>47</v>
      </c>
      <c r="C24" s="77">
        <f>SHIPPING!D19</f>
        <v>0</v>
      </c>
      <c r="D24" s="4"/>
      <c r="E24" s="28"/>
      <c r="F24" s="32"/>
      <c r="G24" s="4"/>
      <c r="H24" s="9" t="s">
        <v>7</v>
      </c>
      <c r="I24" s="34"/>
      <c r="J24" s="34"/>
      <c r="K24" s="26">
        <f>SUM(K12:K23)</f>
        <v>0</v>
      </c>
      <c r="L24" s="376"/>
      <c r="M24" s="377"/>
      <c r="N24" s="26">
        <f>SUM(N13:N23)</f>
        <v>337</v>
      </c>
    </row>
    <row r="25" spans="1:14" ht="15.75" customHeight="1" thickBot="1">
      <c r="A25" s="4"/>
      <c r="B25" s="13" t="s">
        <v>48</v>
      </c>
      <c r="C25" s="77">
        <f>SHIPPING!D46</f>
        <v>0</v>
      </c>
      <c r="D25" s="4"/>
      <c r="E25" s="28"/>
      <c r="F25" s="32"/>
      <c r="G25" s="4"/>
      <c r="H25" s="2"/>
      <c r="I25" s="2"/>
      <c r="J25" s="2"/>
      <c r="K25" s="2"/>
      <c r="L25" s="2"/>
      <c r="M25" s="2"/>
      <c r="N25" s="2"/>
    </row>
    <row r="26" spans="1:14" ht="15.75" customHeight="1" thickBot="1">
      <c r="A26" s="4"/>
      <c r="B26" s="13" t="s">
        <v>50</v>
      </c>
      <c r="C26" s="77">
        <f>SHIPPING!L46</f>
        <v>0</v>
      </c>
      <c r="D26" s="4"/>
      <c r="E26" s="28"/>
      <c r="F26" s="32"/>
      <c r="G26" s="4"/>
      <c r="H26" s="295"/>
      <c r="I26" s="296"/>
      <c r="J26" s="296"/>
      <c r="K26" s="297"/>
      <c r="L26" s="298"/>
      <c r="M26" s="298"/>
      <c r="N26" s="297"/>
    </row>
    <row r="27" spans="1:14" ht="15.75" customHeight="1" thickBot="1">
      <c r="A27" s="4"/>
      <c r="B27" s="13" t="s">
        <v>1326</v>
      </c>
      <c r="C27" s="77">
        <f>SHIPPING!D74</f>
        <v>0</v>
      </c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75" customHeight="1" thickBot="1">
      <c r="A28" s="4"/>
      <c r="B28" s="13" t="s">
        <v>150</v>
      </c>
      <c r="C28" s="78">
        <f>SHIPPING!M19</f>
        <v>0</v>
      </c>
      <c r="D28" s="4"/>
      <c r="E28" s="6"/>
      <c r="F28" s="6"/>
      <c r="G28" s="4"/>
      <c r="H28" s="6"/>
      <c r="I28" s="6"/>
      <c r="J28" s="6"/>
      <c r="K28" s="6"/>
      <c r="L28" s="379" t="s">
        <v>51</v>
      </c>
      <c r="M28" s="380"/>
      <c r="N28" s="308"/>
    </row>
    <row r="29" spans="1:14" ht="17.25" customHeight="1" thickBot="1">
      <c r="A29" s="4"/>
      <c r="B29" s="13" t="s">
        <v>52</v>
      </c>
      <c r="C29" s="352">
        <f>SUM(C13:C28)</f>
        <v>6950</v>
      </c>
      <c r="D29" s="4"/>
      <c r="E29" s="6"/>
      <c r="F29" s="6" t="s">
        <v>133</v>
      </c>
      <c r="G29" s="4"/>
      <c r="H29" s="9" t="s">
        <v>53</v>
      </c>
      <c r="I29" s="23"/>
      <c r="J29" s="30"/>
      <c r="K29" s="7"/>
      <c r="L29" s="378" t="s">
        <v>1378</v>
      </c>
      <c r="M29" s="378"/>
      <c r="N29" s="10"/>
    </row>
    <row r="30" spans="1:14" ht="15.5" customHeight="1">
      <c r="A30" s="4"/>
      <c r="B30" s="16"/>
      <c r="C30" s="4"/>
      <c r="D30" s="4"/>
      <c r="E30" s="6"/>
      <c r="F30" s="6"/>
      <c r="G30" s="4"/>
      <c r="H30" s="35" t="s">
        <v>139</v>
      </c>
      <c r="I30" s="35" t="s">
        <v>29</v>
      </c>
      <c r="J30" s="36" t="s">
        <v>30</v>
      </c>
      <c r="K30" s="6"/>
      <c r="L30" s="378" t="s">
        <v>1379</v>
      </c>
      <c r="M30" s="378"/>
      <c r="N30" s="10"/>
    </row>
    <row r="31" spans="1:14" ht="15.75" customHeight="1" thickBot="1">
      <c r="A31" s="4"/>
      <c r="B31" s="13" t="s">
        <v>54</v>
      </c>
      <c r="C31" s="18"/>
      <c r="D31" s="354">
        <f>C5+C13+C16</f>
        <v>5675</v>
      </c>
      <c r="E31" s="4"/>
      <c r="F31" s="4"/>
      <c r="G31" s="4"/>
      <c r="H31" s="66"/>
      <c r="I31" s="34"/>
      <c r="J31" s="10"/>
      <c r="K31" s="6"/>
      <c r="L31" s="378"/>
      <c r="M31" s="378"/>
      <c r="N31" s="10"/>
    </row>
    <row r="32" spans="1:14" ht="15.5" customHeight="1">
      <c r="A32" s="4"/>
      <c r="B32" s="44" t="s">
        <v>55</v>
      </c>
      <c r="C32" s="4"/>
      <c r="D32" s="45"/>
      <c r="E32" s="4"/>
      <c r="F32" s="4"/>
      <c r="G32" s="4"/>
      <c r="H32" s="66"/>
      <c r="I32" s="34"/>
      <c r="J32" s="10"/>
      <c r="K32" s="6"/>
      <c r="L32" s="378"/>
      <c r="M32" s="378"/>
      <c r="N32" s="10"/>
    </row>
    <row r="33" spans="1:14" ht="15.75" customHeight="1" thickBot="1">
      <c r="A33" s="4"/>
      <c r="B33" s="13" t="s">
        <v>56</v>
      </c>
      <c r="C33" s="18"/>
      <c r="D33" s="354">
        <f>C6+C14+C20</f>
        <v>4650</v>
      </c>
      <c r="E33" s="4"/>
      <c r="F33" s="4"/>
      <c r="G33" s="4"/>
      <c r="H33" s="66"/>
      <c r="I33" s="34"/>
      <c r="J33" s="10"/>
      <c r="K33" s="6"/>
      <c r="L33" s="378"/>
      <c r="M33" s="378"/>
      <c r="N33" s="10"/>
    </row>
    <row r="34" spans="1:14" ht="15.5" customHeight="1">
      <c r="A34" s="4"/>
      <c r="B34" s="44" t="s">
        <v>55</v>
      </c>
      <c r="C34" s="4"/>
      <c r="D34" s="31"/>
      <c r="E34" s="4"/>
      <c r="F34" s="4"/>
      <c r="G34" s="4"/>
      <c r="H34" s="66"/>
      <c r="I34" s="34"/>
      <c r="J34" s="10"/>
      <c r="K34" s="31"/>
      <c r="L34" s="378"/>
      <c r="M34" s="378"/>
      <c r="N34" s="10"/>
    </row>
    <row r="35" spans="1:14" ht="15.75" customHeight="1" thickBot="1">
      <c r="A35" s="4"/>
      <c r="B35" s="13" t="s">
        <v>57</v>
      </c>
      <c r="C35" s="18"/>
      <c r="D35" s="37">
        <f>C24+C28</f>
        <v>0</v>
      </c>
      <c r="E35" s="4"/>
      <c r="F35" s="4"/>
      <c r="G35" s="4"/>
      <c r="H35" s="66"/>
      <c r="I35" s="34"/>
      <c r="J35" s="10"/>
      <c r="K35" s="31"/>
      <c r="L35" s="378"/>
      <c r="M35" s="378"/>
      <c r="N35" s="10"/>
    </row>
    <row r="36" spans="1:14" ht="15.5" customHeight="1">
      <c r="A36" s="4"/>
      <c r="B36" s="44" t="s">
        <v>55</v>
      </c>
      <c r="C36" s="4"/>
      <c r="D36" s="31"/>
      <c r="E36" s="4"/>
      <c r="F36" s="4"/>
      <c r="G36" s="4"/>
      <c r="H36" s="66"/>
      <c r="I36" s="34"/>
      <c r="J36" s="10"/>
      <c r="K36" s="31"/>
      <c r="L36" s="378"/>
      <c r="M36" s="378"/>
      <c r="N36" s="10"/>
    </row>
    <row r="37" spans="1:14" ht="15.75" customHeight="1" thickBot="1">
      <c r="A37" s="4"/>
      <c r="B37" s="13" t="s">
        <v>58</v>
      </c>
      <c r="C37" s="18"/>
      <c r="D37" s="37">
        <f>C7+C25+C17+C21</f>
        <v>0</v>
      </c>
      <c r="E37" s="4"/>
      <c r="F37" s="4"/>
      <c r="G37" s="4"/>
      <c r="H37" s="66"/>
      <c r="I37" s="34"/>
      <c r="J37" s="10"/>
      <c r="K37" s="31"/>
      <c r="L37" s="383" t="s">
        <v>59</v>
      </c>
      <c r="M37" s="384"/>
      <c r="N37" s="26">
        <f>SUM(N29:N36)</f>
        <v>0</v>
      </c>
    </row>
    <row r="38" spans="1:14" ht="15.5" customHeight="1">
      <c r="A38" s="4"/>
      <c r="B38" s="44" t="s">
        <v>60</v>
      </c>
      <c r="C38" s="4"/>
      <c r="D38" s="31"/>
      <c r="E38" s="4"/>
      <c r="F38" s="4"/>
      <c r="G38" s="4"/>
      <c r="H38" s="66"/>
      <c r="I38" s="34"/>
      <c r="J38" s="10"/>
      <c r="K38" s="31"/>
      <c r="L38" s="4"/>
      <c r="M38" s="4"/>
      <c r="N38" s="31"/>
    </row>
    <row r="39" spans="1:14" ht="15.75" customHeight="1" thickBot="1">
      <c r="A39" s="4"/>
      <c r="B39" s="13" t="s">
        <v>61</v>
      </c>
      <c r="C39" s="18"/>
      <c r="D39" s="37">
        <f>C8+C22+C26+C18</f>
        <v>0</v>
      </c>
      <c r="E39" s="4"/>
      <c r="F39" s="4"/>
      <c r="G39" s="4"/>
      <c r="H39" s="66"/>
      <c r="I39" s="34"/>
      <c r="J39" s="10"/>
      <c r="K39" s="31"/>
      <c r="L39" s="4"/>
      <c r="M39" s="4"/>
      <c r="N39" s="31"/>
    </row>
    <row r="40" spans="1:14" ht="16" customHeight="1">
      <c r="A40" s="4"/>
      <c r="B40" s="44" t="s">
        <v>60</v>
      </c>
      <c r="C40" s="4"/>
      <c r="D40" s="31"/>
      <c r="E40" s="4"/>
      <c r="F40" s="4"/>
      <c r="G40" s="4"/>
      <c r="H40" s="66"/>
      <c r="I40" s="34"/>
      <c r="J40" s="10"/>
      <c r="K40" s="31"/>
      <c r="L40" s="4"/>
      <c r="M40" s="4"/>
      <c r="N40" s="31"/>
    </row>
    <row r="41" spans="1:14" ht="16" customHeight="1" thickBot="1">
      <c r="A41" s="4"/>
      <c r="B41" s="293" t="s">
        <v>1327</v>
      </c>
      <c r="C41" s="294"/>
      <c r="D41" s="37">
        <f>C9+C15+C19+C23+C27</f>
        <v>0</v>
      </c>
      <c r="E41" s="4"/>
      <c r="F41" s="4"/>
      <c r="G41" s="4"/>
      <c r="H41" s="66"/>
      <c r="I41" s="34"/>
      <c r="J41" s="10"/>
      <c r="K41" s="31"/>
      <c r="L41" s="4"/>
      <c r="M41" s="4"/>
      <c r="N41" s="31"/>
    </row>
    <row r="42" spans="1:14" ht="15.75" customHeight="1" thickBot="1">
      <c r="A42" s="4"/>
      <c r="B42" s="44" t="s">
        <v>1342</v>
      </c>
      <c r="C42" s="4"/>
      <c r="D42" s="4"/>
      <c r="E42" s="46"/>
      <c r="F42" s="4"/>
      <c r="G42" s="4"/>
      <c r="H42" s="374" t="s">
        <v>62</v>
      </c>
      <c r="I42" s="375"/>
      <c r="J42" s="26">
        <f>SUM(J31:J40)</f>
        <v>0</v>
      </c>
      <c r="K42" s="31"/>
      <c r="L42" s="4"/>
      <c r="M42" s="4"/>
      <c r="N42" s="31"/>
    </row>
    <row r="43" spans="1:14" ht="15.75" customHeight="1">
      <c r="A43" s="13" t="s">
        <v>26</v>
      </c>
      <c r="B43" s="16"/>
      <c r="C43" s="4"/>
      <c r="D43" s="4"/>
      <c r="E43" s="70" t="s">
        <v>63</v>
      </c>
      <c r="F43" s="381" t="s">
        <v>64</v>
      </c>
      <c r="G43" s="382"/>
      <c r="H43" s="6"/>
      <c r="I43" s="6"/>
      <c r="J43" s="6"/>
      <c r="K43" s="6"/>
      <c r="L43" s="6"/>
      <c r="M43" s="6"/>
      <c r="N43" s="6"/>
    </row>
    <row r="44" spans="1:14" ht="15.75" customHeight="1" thickBot="1">
      <c r="A44" s="16"/>
      <c r="B44" s="13" t="s">
        <v>65</v>
      </c>
      <c r="C44" s="8" t="s">
        <v>66</v>
      </c>
      <c r="D44" s="37">
        <f>L9</f>
        <v>0</v>
      </c>
      <c r="E44" s="71"/>
      <c r="F44" s="71" t="s">
        <v>1370</v>
      </c>
      <c r="G44" s="71"/>
      <c r="H44" s="68" t="s">
        <v>67</v>
      </c>
      <c r="I44" s="23"/>
      <c r="J44" s="47" t="s">
        <v>68</v>
      </c>
      <c r="K44" s="47" t="s">
        <v>69</v>
      </c>
      <c r="L44" s="6"/>
      <c r="M44" s="6"/>
      <c r="N44" s="6"/>
    </row>
    <row r="45" spans="1:14" ht="15.75" customHeight="1" thickBot="1">
      <c r="A45" s="16"/>
      <c r="B45" s="13" t="s">
        <v>70</v>
      </c>
      <c r="C45" s="8" t="s">
        <v>66</v>
      </c>
      <c r="D45" s="38">
        <f>J42</f>
        <v>0</v>
      </c>
      <c r="E45" s="34"/>
      <c r="F45" s="367" t="s">
        <v>1368</v>
      </c>
      <c r="G45" s="368">
        <v>1</v>
      </c>
      <c r="H45" s="69" t="s">
        <v>28</v>
      </c>
      <c r="I45" s="35" t="s">
        <v>29</v>
      </c>
      <c r="J45" s="36" t="s">
        <v>30</v>
      </c>
      <c r="K45" s="36" t="s">
        <v>30</v>
      </c>
      <c r="L45" s="6"/>
      <c r="M45" s="6"/>
      <c r="N45" s="6"/>
    </row>
    <row r="46" spans="1:14" ht="15.75" customHeight="1" thickBot="1">
      <c r="A46" s="16"/>
      <c r="B46" s="13" t="s">
        <v>71</v>
      </c>
      <c r="C46" s="8" t="s">
        <v>66</v>
      </c>
      <c r="D46" s="38">
        <f>J56+K56</f>
        <v>0</v>
      </c>
      <c r="E46" s="43"/>
      <c r="F46" s="43" t="s">
        <v>1376</v>
      </c>
      <c r="G46" s="43">
        <v>1</v>
      </c>
      <c r="H46" s="67"/>
      <c r="I46" s="34"/>
      <c r="J46" s="10"/>
      <c r="K46" s="10"/>
      <c r="L46" s="6"/>
      <c r="M46" s="6"/>
      <c r="N46" s="6"/>
    </row>
    <row r="47" spans="1:14" ht="15.75" customHeight="1" thickBot="1">
      <c r="A47" s="16"/>
      <c r="B47" s="13" t="s">
        <v>72</v>
      </c>
      <c r="C47" s="8" t="s">
        <v>66</v>
      </c>
      <c r="D47" s="358">
        <f>N24</f>
        <v>337</v>
      </c>
      <c r="E47" s="72"/>
      <c r="F47" s="10"/>
      <c r="G47" s="58"/>
      <c r="H47" s="67"/>
      <c r="I47" s="34"/>
      <c r="J47" s="10"/>
      <c r="K47" s="10"/>
      <c r="L47" s="6"/>
      <c r="M47" s="6"/>
      <c r="N47" s="6"/>
    </row>
    <row r="48" spans="1:14" ht="15.75" customHeight="1" thickBot="1">
      <c r="A48" s="16"/>
      <c r="B48" s="13" t="s">
        <v>73</v>
      </c>
      <c r="C48" s="8" t="s">
        <v>66</v>
      </c>
      <c r="D48" s="38">
        <f>N37</f>
        <v>0</v>
      </c>
      <c r="E48" s="72"/>
      <c r="F48" s="10"/>
      <c r="G48" s="10"/>
      <c r="H48" s="67"/>
      <c r="I48" s="34"/>
      <c r="J48" s="10"/>
      <c r="K48" s="10"/>
      <c r="L48" s="6"/>
      <c r="M48" s="6"/>
      <c r="N48" s="6"/>
    </row>
    <row r="49" spans="1:257" ht="17.25" customHeight="1" thickBot="1">
      <c r="A49" s="16"/>
      <c r="B49" s="13" t="s">
        <v>7</v>
      </c>
      <c r="C49" s="8" t="s">
        <v>66</v>
      </c>
      <c r="D49" s="359">
        <f>SUM(D44:D48)</f>
        <v>337</v>
      </c>
      <c r="E49" s="72"/>
      <c r="F49" s="34"/>
      <c r="G49" s="34"/>
      <c r="H49" s="67"/>
      <c r="I49" s="34"/>
      <c r="J49" s="10"/>
      <c r="K49" s="10"/>
      <c r="L49" s="6"/>
      <c r="M49" s="6"/>
      <c r="N49" s="6"/>
    </row>
    <row r="50" spans="1:257" ht="15.5" customHeight="1">
      <c r="A50" s="16"/>
      <c r="B50" s="16"/>
      <c r="C50" s="4"/>
      <c r="D50" s="31"/>
      <c r="E50" s="73"/>
      <c r="F50" s="34"/>
      <c r="G50" s="34"/>
      <c r="H50" s="67"/>
      <c r="I50" s="34"/>
      <c r="J50" s="10"/>
      <c r="K50" s="10"/>
      <c r="L50" s="6"/>
      <c r="M50" s="6"/>
      <c r="N50" s="6"/>
    </row>
    <row r="51" spans="1:257" ht="15" customHeight="1">
      <c r="A51" s="13" t="s">
        <v>74</v>
      </c>
      <c r="B51" s="17"/>
      <c r="C51" s="18"/>
      <c r="D51" s="4"/>
      <c r="E51" s="73"/>
      <c r="F51" s="34"/>
      <c r="G51" s="34"/>
      <c r="H51" s="67"/>
      <c r="I51" s="34"/>
      <c r="J51" s="10"/>
      <c r="K51" s="10"/>
      <c r="L51" s="6"/>
      <c r="M51" s="6"/>
      <c r="N51" s="6"/>
    </row>
    <row r="52" spans="1:257" ht="15.75" customHeight="1" thickBot="1">
      <c r="A52" s="11" t="s">
        <v>75</v>
      </c>
      <c r="B52" s="13" t="s">
        <v>76</v>
      </c>
      <c r="C52" s="351">
        <f>C11</f>
        <v>3375</v>
      </c>
      <c r="D52" s="4"/>
      <c r="E52" s="73"/>
      <c r="F52" s="34"/>
      <c r="G52" s="34"/>
      <c r="H52" s="67"/>
      <c r="I52" s="34"/>
      <c r="J52" s="10"/>
      <c r="K52" s="10"/>
      <c r="L52" s="6"/>
      <c r="M52" s="6"/>
      <c r="N52" s="6"/>
    </row>
    <row r="53" spans="1:257" ht="15.75" customHeight="1" thickBot="1">
      <c r="A53" s="82" t="s">
        <v>77</v>
      </c>
      <c r="B53" s="13" t="s">
        <v>26</v>
      </c>
      <c r="C53" s="360">
        <f>D49</f>
        <v>337</v>
      </c>
      <c r="D53" s="4"/>
      <c r="E53" s="73"/>
      <c r="F53" s="34"/>
      <c r="G53" s="34"/>
      <c r="H53" s="67"/>
      <c r="I53" s="34"/>
      <c r="J53" s="10"/>
      <c r="K53" s="10"/>
      <c r="L53" s="6"/>
      <c r="M53" s="6"/>
      <c r="N53" s="6"/>
      <c r="IW53" s="2">
        <v>9</v>
      </c>
    </row>
    <row r="54" spans="1:257" ht="15.75" customHeight="1" thickBot="1">
      <c r="A54" s="16"/>
      <c r="B54" s="13" t="s">
        <v>7</v>
      </c>
      <c r="C54" s="360">
        <f>C52-C53</f>
        <v>3038</v>
      </c>
      <c r="D54" s="4"/>
      <c r="E54" s="4"/>
      <c r="F54" s="4"/>
      <c r="G54" s="4"/>
      <c r="H54" s="34"/>
      <c r="I54" s="34"/>
      <c r="J54" s="10"/>
      <c r="K54" s="10"/>
      <c r="L54" s="6"/>
      <c r="M54" s="6"/>
      <c r="N54" s="6"/>
    </row>
    <row r="55" spans="1:257" ht="15.75" customHeight="1" thickBot="1">
      <c r="A55" s="16"/>
      <c r="B55" s="16"/>
      <c r="C55" s="4"/>
      <c r="D55" s="4"/>
      <c r="E55" s="6"/>
      <c r="F55" s="6"/>
      <c r="G55" s="6"/>
      <c r="H55" s="34"/>
      <c r="I55" s="34"/>
      <c r="J55" s="10"/>
      <c r="K55" s="10"/>
      <c r="L55" s="6"/>
      <c r="M55" s="6"/>
      <c r="N55" s="6"/>
    </row>
    <row r="56" spans="1:257" ht="15.75" customHeight="1" thickBot="1">
      <c r="A56" s="49" t="s">
        <v>78</v>
      </c>
      <c r="B56" s="50"/>
      <c r="C56" s="361">
        <f>C54</f>
        <v>3038</v>
      </c>
      <c r="D56" s="31">
        <f>C54-C56</f>
        <v>0</v>
      </c>
      <c r="E56" s="6"/>
      <c r="F56" s="6"/>
      <c r="G56" s="6"/>
      <c r="H56" s="374" t="s">
        <v>62</v>
      </c>
      <c r="I56" s="375"/>
      <c r="J56" s="26">
        <f>SUM(J46:J55)</f>
        <v>0</v>
      </c>
      <c r="K56" s="26">
        <f>SUM(K46:K55)</f>
        <v>0</v>
      </c>
      <c r="L56" s="6"/>
      <c r="M56" s="6"/>
      <c r="N56" s="6"/>
    </row>
    <row r="57" spans="1:257" ht="15.75" customHeight="1" thickBot="1">
      <c r="A57" s="49" t="s">
        <v>79</v>
      </c>
      <c r="B57" s="50"/>
      <c r="C57" s="362">
        <f>C11+C29-D49</f>
        <v>9988</v>
      </c>
      <c r="D57" s="55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257" ht="15.75" customHeight="1" thickBot="1">
      <c r="A58" s="49" t="s">
        <v>80</v>
      </c>
      <c r="B58" s="50"/>
      <c r="C58" s="363">
        <f>F5</f>
        <v>8</v>
      </c>
      <c r="D58" s="4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257" ht="15.75" customHeight="1" thickBot="1">
      <c r="A59" s="49" t="s">
        <v>81</v>
      </c>
      <c r="B59" s="50"/>
      <c r="C59" s="364">
        <f>F6</f>
        <v>4</v>
      </c>
      <c r="D59" s="4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257" ht="15.75" customHeight="1" thickBot="1">
      <c r="A60" s="49" t="s">
        <v>82</v>
      </c>
      <c r="B60" s="50"/>
      <c r="C60" s="84">
        <f>F9</f>
        <v>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257" ht="15.75" customHeight="1" thickBot="1">
      <c r="A61" s="49" t="s">
        <v>83</v>
      </c>
      <c r="B61" s="50"/>
      <c r="C61" s="84">
        <f>F10</f>
        <v>0</v>
      </c>
      <c r="D61" s="4"/>
      <c r="F61" s="6"/>
      <c r="G61" s="6"/>
      <c r="H61" s="6"/>
      <c r="I61" s="6"/>
      <c r="J61" s="6"/>
      <c r="K61" s="6"/>
      <c r="L61" s="6"/>
      <c r="M61" s="6"/>
      <c r="N61" s="6"/>
    </row>
    <row r="62" spans="1:257" ht="15.75" customHeight="1" thickBot="1">
      <c r="A62" s="49" t="s">
        <v>84</v>
      </c>
      <c r="B62" s="50"/>
      <c r="C62" s="84">
        <f>F11</f>
        <v>0</v>
      </c>
      <c r="D62" s="4"/>
      <c r="E62" s="373" t="s">
        <v>85</v>
      </c>
      <c r="F62" s="6"/>
      <c r="G62" s="6"/>
      <c r="H62" s="6"/>
      <c r="I62" s="6"/>
      <c r="J62" s="6"/>
      <c r="K62" s="6"/>
      <c r="L62" s="6"/>
      <c r="M62" s="6"/>
      <c r="N62" s="6"/>
    </row>
    <row r="63" spans="1:257" ht="15.75" customHeight="1" thickBot="1">
      <c r="A63" s="49" t="s">
        <v>86</v>
      </c>
      <c r="B63" s="50"/>
      <c r="C63" s="84">
        <f>F7</f>
        <v>0</v>
      </c>
      <c r="D63" s="4"/>
      <c r="E63" s="372" t="s">
        <v>1369</v>
      </c>
      <c r="F63" s="370">
        <v>46287</v>
      </c>
      <c r="G63" s="51"/>
      <c r="H63" s="6"/>
      <c r="I63" s="6"/>
      <c r="J63" s="6"/>
      <c r="K63" s="6"/>
      <c r="L63" s="6"/>
      <c r="M63" s="6"/>
      <c r="N63" s="6"/>
    </row>
    <row r="64" spans="1:257" ht="15.75" customHeight="1" thickBot="1">
      <c r="A64" s="49" t="s">
        <v>87</v>
      </c>
      <c r="B64" s="50"/>
      <c r="C64" s="84">
        <f>F8</f>
        <v>0</v>
      </c>
      <c r="D64" s="4"/>
      <c r="E64" s="16" t="s">
        <v>129</v>
      </c>
      <c r="F64" s="16"/>
      <c r="G64" s="4"/>
      <c r="H64" s="6"/>
      <c r="I64" s="6"/>
      <c r="J64" s="6"/>
      <c r="K64" s="6"/>
      <c r="L64" s="6"/>
      <c r="M64" s="6"/>
      <c r="N64" s="6"/>
    </row>
    <row r="65" spans="1:14" ht="15.5" customHeight="1" thickBot="1">
      <c r="A65" s="49" t="s">
        <v>1330</v>
      </c>
      <c r="B65" s="50"/>
      <c r="C65" s="84">
        <f>F12</f>
        <v>0</v>
      </c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</row>
    <row r="66" spans="1:14" ht="16" customHeight="1">
      <c r="A66" s="2"/>
      <c r="B66" s="2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</row>
    <row r="67" spans="1:14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" hidden="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5" hidden="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5" hidden="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5" hidden="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5" hidden="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" hidden="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5" hidden="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" hidden="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5" hidden="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" hidden="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5" hidden="1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" hidden="1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5" hidden="1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" hidden="1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" hidden="1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" hidden="1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" hidden="1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" hidden="1" customHeight="1">
      <c r="A113" s="3"/>
      <c r="B113" s="3"/>
      <c r="C113" s="3"/>
      <c r="D113" s="3"/>
      <c r="E113" s="3"/>
      <c r="F113" s="3"/>
      <c r="G113" s="3"/>
      <c r="H113" s="2"/>
      <c r="I113" s="2"/>
      <c r="J113" s="2"/>
      <c r="K113" s="2"/>
      <c r="L113" s="2"/>
      <c r="M113" s="2"/>
      <c r="N113" s="2"/>
    </row>
    <row r="114" spans="1:14" ht="15" hidden="1" customHeight="1">
      <c r="A114" s="3"/>
      <c r="B114" s="3"/>
      <c r="C114" s="3"/>
      <c r="D114" s="3"/>
      <c r="E114" s="3"/>
      <c r="F114" s="3"/>
      <c r="G114" s="3"/>
      <c r="H114" s="2"/>
      <c r="I114" s="2"/>
      <c r="J114" s="2"/>
      <c r="K114" s="2"/>
      <c r="L114" s="2"/>
      <c r="M114" s="2"/>
      <c r="N114" s="2"/>
    </row>
  </sheetData>
  <mergeCells count="23">
    <mergeCell ref="F43:G43"/>
    <mergeCell ref="L37:M37"/>
    <mergeCell ref="H1:N1"/>
    <mergeCell ref="L13:M13"/>
    <mergeCell ref="L14:M14"/>
    <mergeCell ref="L16:M16"/>
    <mergeCell ref="L17:M17"/>
    <mergeCell ref="L19:M19"/>
    <mergeCell ref="L15:M15"/>
    <mergeCell ref="L18:M18"/>
    <mergeCell ref="H11:I11"/>
    <mergeCell ref="H56:I56"/>
    <mergeCell ref="L24:M24"/>
    <mergeCell ref="L30:M30"/>
    <mergeCell ref="L35:M35"/>
    <mergeCell ref="L33:M33"/>
    <mergeCell ref="L31:M31"/>
    <mergeCell ref="L28:M28"/>
    <mergeCell ref="H42:I42"/>
    <mergeCell ref="L29:M29"/>
    <mergeCell ref="L36:M36"/>
    <mergeCell ref="L34:M34"/>
    <mergeCell ref="L32:M32"/>
  </mergeCells>
  <pageMargins left="0.7" right="0.7" top="0.75" bottom="0.75" header="0.3" footer="0.3"/>
  <pageSetup scale="44" orientation="portrait" horizontalDpi="4294967294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IH111"/>
  <sheetViews>
    <sheetView showGridLines="0" zoomScale="85" zoomScaleNormal="85" workbookViewId="0">
      <selection sqref="A1:E30"/>
    </sheetView>
  </sheetViews>
  <sheetFormatPr baseColWidth="10" defaultColWidth="8.83203125" defaultRowHeight="15.75" customHeight="1"/>
  <cols>
    <col min="1" max="1" width="10.1640625" style="85" customWidth="1"/>
    <col min="2" max="2" width="44" style="123" customWidth="1"/>
    <col min="3" max="3" width="7.5" style="85" customWidth="1"/>
    <col min="4" max="4" width="10.83203125" style="85" customWidth="1"/>
    <col min="5" max="5" width="24.1640625" style="124" customWidth="1"/>
    <col min="6" max="6" width="13.6640625" style="125" customWidth="1"/>
    <col min="7" max="7" width="11.83203125" style="124" customWidth="1"/>
    <col min="8" max="8" width="50" style="126" customWidth="1"/>
    <col min="9" max="9" width="7.5" style="85" customWidth="1"/>
    <col min="10" max="10" width="10.5" style="85" customWidth="1"/>
    <col min="11" max="11" width="20.1640625" style="85" customWidth="1"/>
    <col min="12" max="242" width="8.83203125" style="85" customWidth="1"/>
    <col min="243" max="16384" width="8.83203125" style="86"/>
  </cols>
  <sheetData>
    <row r="1" spans="1:11" ht="15.75" customHeight="1">
      <c r="A1" s="414" t="s">
        <v>88</v>
      </c>
      <c r="B1" s="415"/>
      <c r="C1" s="415"/>
      <c r="D1" s="415"/>
      <c r="E1" s="416"/>
      <c r="F1" s="62"/>
      <c r="G1" s="409" t="s">
        <v>89</v>
      </c>
      <c r="H1" s="410"/>
      <c r="I1" s="410"/>
      <c r="J1" s="410"/>
      <c r="K1" s="411"/>
    </row>
    <row r="2" spans="1:11" ht="15.75" customHeight="1" thickBot="1">
      <c r="A2" s="417" t="s">
        <v>90</v>
      </c>
      <c r="B2" s="412"/>
      <c r="C2" s="412"/>
      <c r="D2" s="412"/>
      <c r="E2" s="413"/>
      <c r="F2" s="62"/>
      <c r="G2" s="406" t="s">
        <v>90</v>
      </c>
      <c r="H2" s="412"/>
      <c r="I2" s="412"/>
      <c r="J2" s="412"/>
      <c r="K2" s="413"/>
    </row>
    <row r="3" spans="1:11" ht="15.75" customHeight="1" thickBot="1">
      <c r="A3" s="87" t="s">
        <v>91</v>
      </c>
      <c r="B3" s="88">
        <v>46287</v>
      </c>
      <c r="C3" s="89"/>
      <c r="D3" s="89"/>
      <c r="E3" s="90"/>
      <c r="F3" s="62"/>
      <c r="G3" s="91" t="s">
        <v>91</v>
      </c>
      <c r="H3" s="88">
        <v>46287</v>
      </c>
      <c r="I3" s="89"/>
      <c r="J3" s="89"/>
      <c r="K3" s="90"/>
    </row>
    <row r="4" spans="1:11" ht="15.75" customHeight="1" thickBot="1">
      <c r="A4" s="87" t="s">
        <v>92</v>
      </c>
      <c r="B4" s="92" t="s">
        <v>1367</v>
      </c>
      <c r="C4" s="89"/>
      <c r="D4" s="89"/>
      <c r="E4" s="90"/>
      <c r="F4" s="62"/>
      <c r="G4" s="91" t="s">
        <v>92</v>
      </c>
      <c r="H4" s="92" t="s">
        <v>1367</v>
      </c>
      <c r="I4" s="89"/>
      <c r="J4" s="89"/>
      <c r="K4" s="90"/>
    </row>
    <row r="5" spans="1:11" ht="15.75" customHeight="1" thickBot="1">
      <c r="A5" s="93" t="s">
        <v>130</v>
      </c>
      <c r="B5" s="94" t="s">
        <v>137</v>
      </c>
      <c r="C5" s="93" t="s">
        <v>94</v>
      </c>
      <c r="D5" s="93" t="s">
        <v>30</v>
      </c>
      <c r="E5" s="95" t="s">
        <v>8</v>
      </c>
      <c r="F5" s="96"/>
      <c r="G5" s="97" t="s">
        <v>130</v>
      </c>
      <c r="H5" s="94" t="s">
        <v>137</v>
      </c>
      <c r="I5" s="93" t="s">
        <v>94</v>
      </c>
      <c r="J5" s="93" t="s">
        <v>30</v>
      </c>
      <c r="K5" s="95" t="s">
        <v>8</v>
      </c>
    </row>
    <row r="6" spans="1:11" ht="15.75" customHeight="1">
      <c r="A6" s="59">
        <v>15246</v>
      </c>
      <c r="B6" s="350" t="s">
        <v>1380</v>
      </c>
      <c r="C6" s="59">
        <v>1</v>
      </c>
      <c r="D6" s="59">
        <v>3000</v>
      </c>
      <c r="E6" s="245"/>
      <c r="F6" s="62"/>
      <c r="G6" s="59">
        <v>15248</v>
      </c>
      <c r="H6" s="350" t="s">
        <v>1385</v>
      </c>
      <c r="I6" s="59">
        <v>1</v>
      </c>
      <c r="J6" s="59">
        <v>2100</v>
      </c>
      <c r="K6" s="98"/>
    </row>
    <row r="7" spans="1:11" ht="15.75" customHeight="1">
      <c r="A7" s="59"/>
      <c r="B7" s="350" t="s">
        <v>1383</v>
      </c>
      <c r="C7" s="59">
        <v>1</v>
      </c>
      <c r="D7" s="59">
        <v>0</v>
      </c>
      <c r="E7" s="245"/>
      <c r="F7" s="62"/>
      <c r="G7" s="57"/>
      <c r="H7" s="350" t="s">
        <v>1006</v>
      </c>
      <c r="I7" s="59">
        <v>1</v>
      </c>
      <c r="J7" s="59">
        <v>200</v>
      </c>
      <c r="K7" s="99"/>
    </row>
    <row r="8" spans="1:11" ht="15.75" customHeight="1">
      <c r="A8" s="59"/>
      <c r="B8" s="350" t="s">
        <v>1180</v>
      </c>
      <c r="C8" s="59">
        <v>1</v>
      </c>
      <c r="D8" s="59">
        <v>0</v>
      </c>
      <c r="E8" s="247"/>
      <c r="F8" s="62"/>
      <c r="G8" s="57"/>
      <c r="H8" s="350" t="s">
        <v>1180</v>
      </c>
      <c r="I8" s="59">
        <v>1</v>
      </c>
      <c r="J8" s="59">
        <v>0</v>
      </c>
      <c r="K8" s="100"/>
    </row>
    <row r="9" spans="1:11" ht="15.75" customHeight="1">
      <c r="A9" s="59">
        <v>15247</v>
      </c>
      <c r="B9" s="350" t="s">
        <v>1384</v>
      </c>
      <c r="C9" s="59">
        <v>1</v>
      </c>
      <c r="D9" s="59">
        <v>375</v>
      </c>
      <c r="E9" s="247"/>
      <c r="F9" s="62"/>
      <c r="G9" s="243"/>
      <c r="H9" s="244"/>
      <c r="I9" s="246"/>
      <c r="J9" s="246"/>
      <c r="K9" s="101"/>
    </row>
    <row r="10" spans="1:11" ht="18" customHeight="1">
      <c r="A10" s="59"/>
      <c r="B10" s="350" t="s">
        <v>1181</v>
      </c>
      <c r="C10" s="59">
        <v>1</v>
      </c>
      <c r="D10" s="59">
        <v>0</v>
      </c>
      <c r="E10" s="247"/>
      <c r="F10" s="62"/>
      <c r="G10" s="243"/>
      <c r="H10" s="244"/>
      <c r="I10" s="246"/>
      <c r="J10" s="246"/>
      <c r="K10" s="100"/>
    </row>
    <row r="11" spans="1:11" ht="15.75" customHeight="1">
      <c r="A11" s="59"/>
      <c r="B11" s="350"/>
      <c r="C11" s="59"/>
      <c r="D11" s="59"/>
      <c r="E11" s="247"/>
      <c r="F11" s="62"/>
      <c r="G11" s="243"/>
      <c r="H11" s="244"/>
      <c r="I11" s="246"/>
      <c r="J11" s="246"/>
      <c r="K11" s="100"/>
    </row>
    <row r="12" spans="1:11" ht="15">
      <c r="A12" s="59"/>
      <c r="B12" s="371"/>
      <c r="C12" s="59"/>
      <c r="D12" s="59"/>
      <c r="E12" s="247"/>
      <c r="F12" s="62"/>
      <c r="G12" s="243"/>
      <c r="H12" s="244"/>
      <c r="I12" s="246"/>
      <c r="J12" s="246"/>
      <c r="K12" s="101"/>
    </row>
    <row r="13" spans="1:11" ht="15.5" customHeight="1">
      <c r="A13" s="59"/>
      <c r="B13" s="244"/>
      <c r="C13" s="59"/>
      <c r="D13" s="59"/>
      <c r="E13" s="247"/>
      <c r="F13" s="62"/>
      <c r="G13" s="243"/>
      <c r="H13" s="244"/>
      <c r="I13" s="246"/>
      <c r="J13" s="246"/>
      <c r="K13" s="100"/>
    </row>
    <row r="14" spans="1:11" ht="17" customHeight="1">
      <c r="A14" s="59"/>
      <c r="B14" s="244"/>
      <c r="C14" s="59"/>
      <c r="D14" s="59"/>
      <c r="E14" s="247"/>
      <c r="F14" s="62"/>
      <c r="G14" s="243"/>
      <c r="H14" s="244"/>
      <c r="I14" s="60"/>
      <c r="J14" s="60"/>
      <c r="K14" s="102"/>
    </row>
    <row r="15" spans="1:11" ht="17" customHeight="1">
      <c r="A15" s="243"/>
      <c r="B15" s="244"/>
      <c r="C15" s="248"/>
      <c r="D15" s="248"/>
      <c r="E15" s="247"/>
      <c r="F15" s="62"/>
      <c r="G15" s="243"/>
      <c r="H15" s="244"/>
      <c r="I15" s="246"/>
      <c r="J15" s="246"/>
      <c r="K15" s="100"/>
    </row>
    <row r="16" spans="1:11" ht="15" customHeight="1">
      <c r="A16" s="243"/>
      <c r="B16" s="244"/>
      <c r="C16" s="60"/>
      <c r="D16" s="60"/>
      <c r="E16" s="247"/>
      <c r="F16" s="62"/>
      <c r="G16" s="243"/>
      <c r="H16" s="244"/>
      <c r="I16" s="248"/>
      <c r="J16" s="248"/>
      <c r="K16" s="100"/>
    </row>
    <row r="17" spans="1:11" ht="15.5" customHeight="1">
      <c r="A17" s="243"/>
      <c r="B17" s="244"/>
      <c r="C17" s="60"/>
      <c r="D17" s="60"/>
      <c r="E17" s="247"/>
      <c r="F17" s="62"/>
      <c r="G17" s="243"/>
      <c r="H17" s="244"/>
      <c r="I17" s="251"/>
      <c r="J17" s="251"/>
      <c r="K17" s="100"/>
    </row>
    <row r="18" spans="1:11" ht="15.5" customHeight="1">
      <c r="A18" s="243"/>
      <c r="B18" s="244"/>
      <c r="C18" s="60"/>
      <c r="D18" s="60"/>
      <c r="E18" s="247"/>
      <c r="F18" s="62"/>
      <c r="G18" s="243"/>
      <c r="H18" s="244"/>
      <c r="I18" s="60"/>
      <c r="J18" s="60"/>
      <c r="K18" s="100"/>
    </row>
    <row r="19" spans="1:11" ht="15.5" customHeight="1">
      <c r="A19" s="243"/>
      <c r="B19" s="244"/>
      <c r="C19" s="249"/>
      <c r="D19" s="246"/>
      <c r="E19" s="247"/>
      <c r="F19" s="62"/>
      <c r="G19" s="243"/>
      <c r="H19" s="244"/>
      <c r="I19" s="60"/>
      <c r="J19" s="60"/>
      <c r="K19" s="100"/>
    </row>
    <row r="20" spans="1:11" ht="15.5" customHeight="1">
      <c r="A20" s="243"/>
      <c r="B20" s="244"/>
      <c r="C20" s="249"/>
      <c r="D20" s="246"/>
      <c r="E20" s="247"/>
      <c r="F20" s="62"/>
      <c r="G20" s="243"/>
      <c r="H20" s="244"/>
      <c r="I20" s="60"/>
      <c r="J20" s="60"/>
      <c r="K20" s="100"/>
    </row>
    <row r="21" spans="1:11" ht="15.5" customHeight="1">
      <c r="A21" s="243"/>
      <c r="B21" s="244"/>
      <c r="C21" s="249"/>
      <c r="D21" s="246"/>
      <c r="E21" s="247"/>
      <c r="F21" s="62"/>
      <c r="G21" s="243"/>
      <c r="H21" s="244"/>
      <c r="I21" s="60"/>
      <c r="J21" s="60"/>
      <c r="K21" s="100"/>
    </row>
    <row r="22" spans="1:11" ht="15" customHeight="1">
      <c r="A22" s="243"/>
      <c r="B22" s="244"/>
      <c r="C22" s="249"/>
      <c r="D22" s="246"/>
      <c r="E22" s="247"/>
      <c r="F22" s="62"/>
      <c r="G22" s="243"/>
      <c r="H22" s="244"/>
      <c r="I22" s="60"/>
      <c r="J22" s="60"/>
      <c r="K22" s="100"/>
    </row>
    <row r="23" spans="1:11" ht="15" customHeight="1">
      <c r="A23" s="243"/>
      <c r="B23" s="244"/>
      <c r="C23" s="249"/>
      <c r="D23" s="246"/>
      <c r="E23" s="247"/>
      <c r="F23" s="62"/>
      <c r="G23" s="243"/>
      <c r="H23" s="244"/>
      <c r="I23" s="60"/>
      <c r="J23" s="60"/>
      <c r="K23" s="100"/>
    </row>
    <row r="24" spans="1:11" ht="15.5" customHeight="1">
      <c r="A24" s="243"/>
      <c r="B24" s="244"/>
      <c r="C24" s="250"/>
      <c r="D24" s="60"/>
      <c r="E24" s="247"/>
      <c r="F24" s="62"/>
      <c r="G24" s="243"/>
      <c r="H24" s="244"/>
      <c r="I24" s="60"/>
      <c r="J24" s="60"/>
      <c r="K24" s="100"/>
    </row>
    <row r="25" spans="1:11" ht="15.75" customHeight="1">
      <c r="A25" s="243"/>
      <c r="B25" s="244"/>
      <c r="C25" s="249"/>
      <c r="D25" s="246"/>
      <c r="E25" s="247"/>
      <c r="F25" s="62"/>
      <c r="G25" s="243"/>
      <c r="H25" s="244"/>
      <c r="I25" s="60"/>
      <c r="J25" s="60"/>
      <c r="K25" s="100"/>
    </row>
    <row r="26" spans="1:11" ht="15.75" customHeight="1">
      <c r="A26" s="243"/>
      <c r="B26" s="244"/>
      <c r="C26" s="246"/>
      <c r="D26" s="246"/>
      <c r="E26" s="247"/>
      <c r="F26" s="62"/>
      <c r="G26" s="243"/>
      <c r="H26" s="244"/>
      <c r="I26" s="60"/>
      <c r="J26" s="60"/>
      <c r="K26" s="100"/>
    </row>
    <row r="27" spans="1:11" ht="15.75" customHeight="1">
      <c r="A27" s="243"/>
      <c r="B27" s="244"/>
      <c r="C27" s="246"/>
      <c r="D27" s="246"/>
      <c r="E27" s="247"/>
      <c r="F27" s="62"/>
      <c r="G27" s="243"/>
      <c r="H27" s="244"/>
      <c r="I27" s="60"/>
      <c r="J27" s="60"/>
      <c r="K27" s="100"/>
    </row>
    <row r="28" spans="1:11" ht="15.75" customHeight="1">
      <c r="A28" s="243"/>
      <c r="B28" s="244"/>
      <c r="C28" s="246"/>
      <c r="D28" s="246"/>
      <c r="E28" s="247"/>
      <c r="F28" s="62"/>
      <c r="G28" s="243"/>
      <c r="H28" s="244"/>
      <c r="I28" s="60"/>
      <c r="J28" s="60"/>
      <c r="K28" s="100"/>
    </row>
    <row r="29" spans="1:11" ht="15.75" customHeight="1">
      <c r="A29" s="243"/>
      <c r="B29" s="244"/>
      <c r="C29" s="248"/>
      <c r="D29" s="248"/>
      <c r="E29" s="247"/>
      <c r="F29" s="62"/>
      <c r="G29" s="243"/>
      <c r="H29" s="244"/>
      <c r="I29" s="60"/>
      <c r="J29" s="60"/>
      <c r="K29" s="60"/>
    </row>
    <row r="30" spans="1:11" ht="15.75" customHeight="1">
      <c r="A30" s="103"/>
      <c r="B30" s="104" t="s">
        <v>7</v>
      </c>
      <c r="C30" s="105">
        <f>SUM(C6:C29)</f>
        <v>5</v>
      </c>
      <c r="D30" s="105">
        <f>SUM(D6:D29)</f>
        <v>3375</v>
      </c>
      <c r="E30" s="106"/>
      <c r="F30" s="62"/>
      <c r="G30" s="107"/>
      <c r="H30" s="108" t="s">
        <v>7</v>
      </c>
      <c r="I30" s="109">
        <f>SUM(I6:I29)</f>
        <v>3</v>
      </c>
      <c r="J30" s="109">
        <f>SUM(J6:J29)</f>
        <v>2300</v>
      </c>
      <c r="K30" s="110"/>
    </row>
    <row r="31" spans="1:11" ht="15.75" customHeight="1">
      <c r="A31" s="61"/>
      <c r="B31" s="63"/>
      <c r="C31" s="61"/>
      <c r="D31" s="61"/>
      <c r="E31" s="61"/>
      <c r="F31" s="62"/>
      <c r="G31" s="61"/>
      <c r="H31" s="111"/>
      <c r="I31" s="61"/>
      <c r="J31" s="61"/>
      <c r="K31" s="61"/>
    </row>
    <row r="32" spans="1:11" ht="15.75" customHeight="1">
      <c r="A32" s="61"/>
      <c r="B32" s="63"/>
      <c r="C32" s="61"/>
      <c r="D32" s="61"/>
      <c r="E32" s="61"/>
      <c r="F32" s="62"/>
      <c r="G32" s="61"/>
      <c r="H32" s="111"/>
      <c r="I32" s="61"/>
      <c r="J32" s="61"/>
      <c r="K32" s="61"/>
    </row>
    <row r="33" spans="1:11" ht="15.75" customHeight="1">
      <c r="A33" s="397" t="s">
        <v>95</v>
      </c>
      <c r="B33" s="398"/>
      <c r="C33" s="398"/>
      <c r="D33" s="398"/>
      <c r="E33" s="421"/>
      <c r="F33" s="62"/>
      <c r="G33" s="400" t="s">
        <v>96</v>
      </c>
      <c r="H33" s="401"/>
      <c r="I33" s="401"/>
      <c r="J33" s="401"/>
      <c r="K33" s="402"/>
    </row>
    <row r="34" spans="1:11" ht="15.75" customHeight="1" thickBot="1">
      <c r="A34" s="403" t="s">
        <v>90</v>
      </c>
      <c r="B34" s="404"/>
      <c r="C34" s="404"/>
      <c r="D34" s="404"/>
      <c r="E34" s="405"/>
      <c r="F34" s="62"/>
      <c r="G34" s="418" t="s">
        <v>90</v>
      </c>
      <c r="H34" s="419"/>
      <c r="I34" s="419"/>
      <c r="J34" s="419"/>
      <c r="K34" s="420"/>
    </row>
    <row r="35" spans="1:11" ht="15" customHeight="1" thickBot="1">
      <c r="A35" s="87" t="s">
        <v>91</v>
      </c>
      <c r="B35" s="88"/>
      <c r="C35" s="89"/>
      <c r="D35" s="89"/>
      <c r="E35" s="90"/>
      <c r="F35" s="62"/>
      <c r="G35" s="91" t="s">
        <v>91</v>
      </c>
      <c r="H35" s="88"/>
      <c r="I35" s="89"/>
      <c r="J35" s="89"/>
      <c r="K35" s="112"/>
    </row>
    <row r="36" spans="1:11" ht="16.5" customHeight="1" thickBot="1">
      <c r="A36" s="87" t="s">
        <v>92</v>
      </c>
      <c r="B36" s="92"/>
      <c r="C36" s="89"/>
      <c r="D36" s="89"/>
      <c r="E36" s="90"/>
      <c r="F36" s="62"/>
      <c r="G36" s="91" t="s">
        <v>92</v>
      </c>
      <c r="H36" s="92"/>
      <c r="I36" s="89"/>
      <c r="J36" s="89"/>
      <c r="K36" s="112"/>
    </row>
    <row r="37" spans="1:11" ht="16.5" customHeight="1" thickBot="1">
      <c r="A37" s="93" t="s">
        <v>130</v>
      </c>
      <c r="B37" s="94" t="s">
        <v>137</v>
      </c>
      <c r="C37" s="93" t="s">
        <v>94</v>
      </c>
      <c r="D37" s="93" t="s">
        <v>30</v>
      </c>
      <c r="E37" s="95" t="s">
        <v>8</v>
      </c>
      <c r="F37" s="96"/>
      <c r="G37" s="97" t="s">
        <v>130</v>
      </c>
      <c r="H37" s="94" t="s">
        <v>137</v>
      </c>
      <c r="I37" s="93" t="s">
        <v>94</v>
      </c>
      <c r="J37" s="93" t="s">
        <v>30</v>
      </c>
      <c r="K37" s="93" t="s">
        <v>8</v>
      </c>
    </row>
    <row r="38" spans="1:11" ht="16.5" customHeight="1">
      <c r="A38" s="243"/>
      <c r="B38" s="244"/>
      <c r="C38" s="246"/>
      <c r="D38" s="246"/>
      <c r="E38" s="252"/>
      <c r="F38" s="62"/>
      <c r="G38" s="243"/>
      <c r="H38" s="244"/>
      <c r="I38" s="246"/>
      <c r="J38" s="246"/>
      <c r="K38" s="254"/>
    </row>
    <row r="39" spans="1:11" ht="16.5" customHeight="1">
      <c r="A39" s="243"/>
      <c r="B39" s="244"/>
      <c r="C39" s="246"/>
      <c r="D39" s="246"/>
      <c r="E39" s="247"/>
      <c r="F39" s="62"/>
      <c r="G39" s="243"/>
      <c r="H39" s="244"/>
      <c r="I39" s="246"/>
      <c r="J39" s="246"/>
      <c r="K39" s="246"/>
    </row>
    <row r="40" spans="1:11" ht="16.5" customHeight="1">
      <c r="A40" s="243"/>
      <c r="B40" s="244"/>
      <c r="C40" s="246"/>
      <c r="D40" s="246"/>
      <c r="E40" s="247"/>
      <c r="F40" s="62"/>
      <c r="G40" s="243"/>
      <c r="H40" s="244"/>
      <c r="I40" s="246"/>
      <c r="J40" s="246"/>
      <c r="K40" s="246"/>
    </row>
    <row r="41" spans="1:11" ht="16.5" customHeight="1">
      <c r="A41" s="243"/>
      <c r="B41" s="244"/>
      <c r="C41" s="246"/>
      <c r="D41" s="246"/>
      <c r="E41" s="247"/>
      <c r="F41" s="62"/>
      <c r="G41" s="243"/>
      <c r="H41" s="244"/>
      <c r="I41" s="246"/>
      <c r="J41" s="246"/>
      <c r="K41" s="246"/>
    </row>
    <row r="42" spans="1:11" ht="16.5" customHeight="1">
      <c r="A42" s="243"/>
      <c r="B42" s="244"/>
      <c r="C42" s="246"/>
      <c r="D42" s="246"/>
      <c r="E42" s="253"/>
      <c r="F42" s="113"/>
      <c r="G42" s="243"/>
      <c r="H42" s="244"/>
      <c r="I42" s="246"/>
      <c r="J42" s="246"/>
      <c r="K42" s="255"/>
    </row>
    <row r="43" spans="1:11" ht="16.5" customHeight="1">
      <c r="A43" s="243"/>
      <c r="B43" s="244"/>
      <c r="C43" s="246"/>
      <c r="D43" s="246"/>
      <c r="E43" s="247"/>
      <c r="F43" s="62"/>
      <c r="G43" s="243"/>
      <c r="H43" s="244"/>
      <c r="I43" s="246"/>
      <c r="J43" s="246"/>
      <c r="K43" s="246"/>
    </row>
    <row r="44" spans="1:11" ht="16.5" customHeight="1">
      <c r="A44" s="243"/>
      <c r="B44" s="244"/>
      <c r="C44" s="246"/>
      <c r="D44" s="246"/>
      <c r="E44" s="247"/>
      <c r="F44" s="62"/>
      <c r="G44" s="243"/>
      <c r="H44" s="244"/>
      <c r="I44" s="246"/>
      <c r="J44" s="246"/>
      <c r="K44" s="246"/>
    </row>
    <row r="45" spans="1:11" ht="16.5" customHeight="1">
      <c r="A45" s="243"/>
      <c r="B45" s="244"/>
      <c r="C45" s="246"/>
      <c r="D45" s="246"/>
      <c r="E45" s="247"/>
      <c r="F45" s="62"/>
      <c r="G45" s="243"/>
      <c r="H45" s="244"/>
      <c r="I45" s="246"/>
      <c r="J45" s="246"/>
      <c r="K45" s="246"/>
    </row>
    <row r="46" spans="1:11" ht="16.5" customHeight="1">
      <c r="A46" s="243"/>
      <c r="B46" s="244"/>
      <c r="C46" s="246"/>
      <c r="D46" s="246"/>
      <c r="E46" s="247"/>
      <c r="F46" s="62"/>
      <c r="G46" s="243"/>
      <c r="H46" s="244"/>
      <c r="I46" s="246"/>
      <c r="J46" s="246"/>
      <c r="K46" s="246"/>
    </row>
    <row r="47" spans="1:11" ht="16.5" customHeight="1">
      <c r="A47" s="243"/>
      <c r="B47" s="244"/>
      <c r="C47" s="246"/>
      <c r="D47" s="246"/>
      <c r="E47" s="247"/>
      <c r="F47" s="62"/>
      <c r="G47" s="243"/>
      <c r="H47" s="244"/>
      <c r="I47" s="246"/>
      <c r="J47" s="246"/>
      <c r="K47" s="246"/>
    </row>
    <row r="48" spans="1:11" ht="16.5" customHeight="1">
      <c r="A48" s="243"/>
      <c r="B48" s="244"/>
      <c r="C48" s="246"/>
      <c r="D48" s="246"/>
      <c r="E48" s="247"/>
      <c r="F48" s="62"/>
      <c r="G48" s="243"/>
      <c r="H48" s="244"/>
      <c r="I48" s="246"/>
      <c r="J48" s="246"/>
      <c r="K48" s="246"/>
    </row>
    <row r="49" spans="1:11" ht="16.5" customHeight="1">
      <c r="A49" s="243"/>
      <c r="B49" s="244"/>
      <c r="C49" s="246"/>
      <c r="D49" s="246"/>
      <c r="E49" s="247"/>
      <c r="F49" s="62"/>
      <c r="G49" s="243"/>
      <c r="H49" s="244"/>
      <c r="I49" s="246"/>
      <c r="J49" s="246"/>
      <c r="K49" s="246"/>
    </row>
    <row r="50" spans="1:11" ht="16.5" customHeight="1">
      <c r="A50" s="243"/>
      <c r="B50" s="244"/>
      <c r="C50" s="246"/>
      <c r="D50" s="246"/>
      <c r="E50" s="247"/>
      <c r="F50" s="62"/>
      <c r="G50" s="243"/>
      <c r="H50" s="244"/>
      <c r="I50" s="246"/>
      <c r="J50" s="246"/>
      <c r="K50" s="246"/>
    </row>
    <row r="51" spans="1:11" ht="16.5" customHeight="1">
      <c r="A51" s="243"/>
      <c r="B51" s="244"/>
      <c r="C51" s="246"/>
      <c r="D51" s="246"/>
      <c r="E51" s="247"/>
      <c r="F51" s="62"/>
      <c r="G51" s="243"/>
      <c r="H51" s="244"/>
      <c r="I51" s="246"/>
      <c r="J51" s="246"/>
      <c r="K51" s="246"/>
    </row>
    <row r="52" spans="1:11" ht="16.5" customHeight="1">
      <c r="A52" s="243"/>
      <c r="B52" s="244"/>
      <c r="C52" s="246"/>
      <c r="D52" s="246"/>
      <c r="E52" s="247"/>
      <c r="F52" s="62"/>
      <c r="G52" s="243"/>
      <c r="H52" s="244"/>
      <c r="I52" s="246"/>
      <c r="J52" s="246"/>
      <c r="K52" s="246"/>
    </row>
    <row r="53" spans="1:11" ht="16.5" customHeight="1">
      <c r="A53" s="243"/>
      <c r="B53" s="244"/>
      <c r="C53" s="246"/>
      <c r="D53" s="246"/>
      <c r="E53" s="247"/>
      <c r="F53" s="62"/>
      <c r="G53" s="243"/>
      <c r="H53" s="244"/>
      <c r="I53" s="246"/>
      <c r="J53" s="246"/>
      <c r="K53" s="246"/>
    </row>
    <row r="54" spans="1:11" ht="16.5" customHeight="1">
      <c r="A54" s="243"/>
      <c r="B54" s="244"/>
      <c r="C54" s="246"/>
      <c r="D54" s="246"/>
      <c r="E54" s="247"/>
      <c r="F54" s="62"/>
      <c r="G54" s="243"/>
      <c r="H54" s="244"/>
      <c r="I54" s="246"/>
      <c r="J54" s="246"/>
      <c r="K54" s="246"/>
    </row>
    <row r="55" spans="1:11" ht="15.75" customHeight="1">
      <c r="A55" s="103"/>
      <c r="B55" s="104" t="s">
        <v>7</v>
      </c>
      <c r="C55" s="105">
        <f>SUM(C38:C54)</f>
        <v>0</v>
      </c>
      <c r="D55" s="105">
        <f>SUM(D38:D54)</f>
        <v>0</v>
      </c>
      <c r="E55" s="114"/>
      <c r="F55" s="62"/>
      <c r="G55" s="107"/>
      <c r="H55" s="108" t="s">
        <v>7</v>
      </c>
      <c r="I55" s="109">
        <f>SUM(I38:I54)</f>
        <v>0</v>
      </c>
      <c r="J55" s="109">
        <f>SUM(J38:J54)</f>
        <v>0</v>
      </c>
      <c r="K55" s="110"/>
    </row>
    <row r="56" spans="1:11" ht="15.75" customHeight="1">
      <c r="A56" s="62"/>
      <c r="B56" s="115"/>
      <c r="C56" s="62"/>
      <c r="D56" s="62"/>
      <c r="E56" s="62"/>
      <c r="F56" s="62"/>
      <c r="G56" s="62"/>
      <c r="H56" s="116"/>
      <c r="I56" s="62"/>
      <c r="J56" s="62"/>
      <c r="K56" s="62"/>
    </row>
    <row r="57" spans="1:11" ht="15.75" customHeight="1">
      <c r="A57" s="62"/>
      <c r="B57" s="115"/>
      <c r="C57" s="62"/>
      <c r="D57" s="62"/>
      <c r="E57" s="62"/>
      <c r="F57" s="62"/>
      <c r="G57" s="62"/>
      <c r="H57" s="116"/>
      <c r="I57" s="62"/>
      <c r="J57" s="62"/>
      <c r="K57" s="62"/>
    </row>
    <row r="58" spans="1:11" ht="15.75" customHeight="1">
      <c r="A58" s="397" t="s">
        <v>97</v>
      </c>
      <c r="B58" s="398"/>
      <c r="C58" s="398"/>
      <c r="D58" s="398"/>
      <c r="E58" s="399"/>
      <c r="F58" s="62"/>
      <c r="G58" s="400" t="s">
        <v>98</v>
      </c>
      <c r="H58" s="401"/>
      <c r="I58" s="401"/>
      <c r="J58" s="401"/>
      <c r="K58" s="402"/>
    </row>
    <row r="59" spans="1:11" ht="15.75" customHeight="1" thickBot="1">
      <c r="A59" s="403" t="s">
        <v>90</v>
      </c>
      <c r="B59" s="404"/>
      <c r="C59" s="404"/>
      <c r="D59" s="404"/>
      <c r="E59" s="405"/>
      <c r="F59" s="62"/>
      <c r="G59" s="406" t="s">
        <v>90</v>
      </c>
      <c r="H59" s="407"/>
      <c r="I59" s="407"/>
      <c r="J59" s="407"/>
      <c r="K59" s="408"/>
    </row>
    <row r="60" spans="1:11" ht="15.75" customHeight="1" thickBot="1">
      <c r="A60" s="87" t="s">
        <v>91</v>
      </c>
      <c r="B60" s="88">
        <v>46271</v>
      </c>
      <c r="C60" s="89"/>
      <c r="D60" s="89"/>
      <c r="E60" s="90"/>
      <c r="F60" s="62"/>
      <c r="G60" s="87" t="s">
        <v>91</v>
      </c>
      <c r="H60" s="88">
        <v>46271</v>
      </c>
      <c r="I60" s="89"/>
      <c r="J60" s="89"/>
      <c r="K60" s="90"/>
    </row>
    <row r="61" spans="1:11" ht="15.75" customHeight="1" thickBot="1">
      <c r="A61" s="87" t="s">
        <v>92</v>
      </c>
      <c r="B61" s="92" t="s">
        <v>1367</v>
      </c>
      <c r="C61" s="89"/>
      <c r="D61" s="89"/>
      <c r="E61" s="90"/>
      <c r="F61" s="62"/>
      <c r="G61" s="87" t="s">
        <v>92</v>
      </c>
      <c r="H61" s="92" t="s">
        <v>1367</v>
      </c>
      <c r="I61" s="89"/>
      <c r="J61" s="89"/>
      <c r="K61" s="90"/>
    </row>
    <row r="62" spans="1:11" ht="15.75" customHeight="1" thickBot="1">
      <c r="A62" s="93" t="s">
        <v>130</v>
      </c>
      <c r="B62" s="94" t="s">
        <v>137</v>
      </c>
      <c r="C62" s="93" t="s">
        <v>94</v>
      </c>
      <c r="D62" s="93" t="s">
        <v>30</v>
      </c>
      <c r="E62" s="95" t="s">
        <v>8</v>
      </c>
      <c r="F62" s="96"/>
      <c r="G62" s="93" t="s">
        <v>130</v>
      </c>
      <c r="H62" s="94" t="s">
        <v>137</v>
      </c>
      <c r="I62" s="93" t="s">
        <v>94</v>
      </c>
      <c r="J62" s="93" t="s">
        <v>30</v>
      </c>
      <c r="K62" s="95" t="s">
        <v>8</v>
      </c>
    </row>
    <row r="63" spans="1:11" ht="15.75" customHeight="1">
      <c r="A63" s="59"/>
      <c r="B63" s="244"/>
      <c r="C63" s="59"/>
      <c r="D63" s="59"/>
      <c r="E63" s="252"/>
      <c r="F63" s="62"/>
      <c r="G63" s="59"/>
      <c r="H63" s="244"/>
      <c r="I63" s="59"/>
      <c r="J63" s="59"/>
      <c r="K63" s="256"/>
    </row>
    <row r="64" spans="1:11" ht="15.75" customHeight="1">
      <c r="A64" s="59"/>
      <c r="B64" s="244"/>
      <c r="C64" s="59"/>
      <c r="D64" s="59"/>
      <c r="E64" s="245"/>
      <c r="F64" s="62"/>
      <c r="G64" s="59"/>
      <c r="H64" s="244"/>
      <c r="I64" s="59"/>
      <c r="J64" s="59"/>
      <c r="K64" s="257"/>
    </row>
    <row r="65" spans="1:11" ht="15.75" customHeight="1">
      <c r="A65" s="59"/>
      <c r="B65" s="244"/>
      <c r="C65" s="59"/>
      <c r="D65" s="59"/>
      <c r="E65" s="245"/>
      <c r="F65" s="62"/>
      <c r="G65" s="243"/>
      <c r="H65" s="244"/>
      <c r="I65" s="60"/>
      <c r="J65" s="60"/>
      <c r="K65" s="257"/>
    </row>
    <row r="66" spans="1:11" ht="15.75" customHeight="1">
      <c r="A66" s="59"/>
      <c r="B66" s="244"/>
      <c r="C66" s="59"/>
      <c r="D66" s="59"/>
      <c r="E66" s="245"/>
      <c r="F66" s="62"/>
      <c r="G66" s="243"/>
      <c r="H66" s="244"/>
      <c r="I66" s="60"/>
      <c r="J66" s="60"/>
      <c r="K66" s="257"/>
    </row>
    <row r="67" spans="1:11" ht="15.75" customHeight="1">
      <c r="A67" s="57"/>
      <c r="B67" s="244"/>
      <c r="C67" s="59"/>
      <c r="D67" s="59"/>
      <c r="E67" s="245"/>
      <c r="F67" s="62"/>
      <c r="G67" s="243"/>
      <c r="H67" s="244"/>
      <c r="I67" s="60"/>
      <c r="J67" s="60"/>
      <c r="K67" s="257"/>
    </row>
    <row r="68" spans="1:11" ht="15.75" customHeight="1">
      <c r="A68" s="59"/>
      <c r="B68" s="244"/>
      <c r="C68" s="59"/>
      <c r="D68" s="59"/>
      <c r="E68" s="245"/>
      <c r="F68" s="62"/>
      <c r="G68" s="243"/>
      <c r="H68" s="244"/>
      <c r="I68" s="60"/>
      <c r="J68" s="60"/>
      <c r="K68" s="257"/>
    </row>
    <row r="69" spans="1:11" ht="15.75" customHeight="1">
      <c r="A69" s="243"/>
      <c r="B69" s="244"/>
      <c r="C69" s="246"/>
      <c r="D69" s="246"/>
      <c r="E69" s="245"/>
      <c r="F69" s="62"/>
      <c r="G69" s="243"/>
      <c r="H69" s="244"/>
      <c r="I69" s="60"/>
      <c r="J69" s="60"/>
      <c r="K69" s="257"/>
    </row>
    <row r="70" spans="1:11" ht="15.75" customHeight="1">
      <c r="A70" s="243"/>
      <c r="B70" s="244"/>
      <c r="C70" s="246"/>
      <c r="D70" s="246"/>
      <c r="E70" s="245"/>
      <c r="F70" s="62"/>
      <c r="G70" s="243"/>
      <c r="H70" s="244"/>
      <c r="I70" s="60"/>
      <c r="J70" s="60"/>
      <c r="K70" s="257"/>
    </row>
    <row r="71" spans="1:11" ht="15.75" customHeight="1">
      <c r="A71" s="243"/>
      <c r="B71" s="244"/>
      <c r="C71" s="246"/>
      <c r="D71" s="246"/>
      <c r="E71" s="245"/>
      <c r="F71" s="62"/>
      <c r="G71" s="243"/>
      <c r="H71" s="244"/>
      <c r="I71" s="60"/>
      <c r="J71" s="60"/>
      <c r="K71" s="257"/>
    </row>
    <row r="72" spans="1:11" ht="15.75" customHeight="1">
      <c r="A72" s="243"/>
      <c r="B72" s="244"/>
      <c r="C72" s="246"/>
      <c r="D72" s="246"/>
      <c r="E72" s="245"/>
      <c r="F72" s="62"/>
      <c r="G72" s="243"/>
      <c r="H72" s="244"/>
      <c r="I72" s="60"/>
      <c r="J72" s="60"/>
      <c r="K72" s="257"/>
    </row>
    <row r="73" spans="1:11" ht="15.75" customHeight="1">
      <c r="A73" s="243"/>
      <c r="B73" s="244"/>
      <c r="C73" s="246"/>
      <c r="D73" s="246"/>
      <c r="E73" s="245"/>
      <c r="F73" s="62"/>
      <c r="G73" s="243"/>
      <c r="H73" s="244"/>
      <c r="I73" s="60"/>
      <c r="J73" s="60"/>
      <c r="K73" s="257"/>
    </row>
    <row r="74" spans="1:11" ht="15.75" customHeight="1">
      <c r="A74" s="243"/>
      <c r="B74" s="244"/>
      <c r="C74" s="246"/>
      <c r="D74" s="246"/>
      <c r="E74" s="245"/>
      <c r="F74" s="62"/>
      <c r="G74" s="243"/>
      <c r="H74" s="244"/>
      <c r="I74" s="258"/>
      <c r="J74" s="257"/>
      <c r="K74" s="243"/>
    </row>
    <row r="75" spans="1:11" ht="15.75" customHeight="1">
      <c r="A75" s="243"/>
      <c r="B75" s="244"/>
      <c r="C75" s="246"/>
      <c r="D75" s="246"/>
      <c r="E75" s="245"/>
      <c r="F75" s="62"/>
      <c r="G75" s="243"/>
      <c r="H75" s="244"/>
      <c r="I75" s="60"/>
      <c r="J75" s="257"/>
      <c r="K75" s="243"/>
    </row>
    <row r="76" spans="1:11" ht="15.75" customHeight="1">
      <c r="A76" s="243"/>
      <c r="B76" s="244"/>
      <c r="C76" s="246"/>
      <c r="D76" s="246"/>
      <c r="E76" s="245"/>
      <c r="F76" s="62"/>
      <c r="G76" s="243"/>
      <c r="H76" s="244"/>
      <c r="I76" s="60"/>
      <c r="J76" s="249"/>
      <c r="K76" s="243"/>
    </row>
    <row r="77" spans="1:11" ht="15.75" customHeight="1">
      <c r="A77" s="243"/>
      <c r="B77" s="244"/>
      <c r="C77" s="246"/>
      <c r="D77" s="246"/>
      <c r="E77" s="245"/>
      <c r="F77" s="62"/>
      <c r="G77" s="243"/>
      <c r="H77" s="244"/>
      <c r="I77" s="60"/>
      <c r="J77" s="249"/>
      <c r="K77" s="243"/>
    </row>
    <row r="78" spans="1:11" ht="15.75" customHeight="1">
      <c r="A78" s="243"/>
      <c r="B78" s="244"/>
      <c r="C78" s="246"/>
      <c r="D78" s="246"/>
      <c r="E78" s="245"/>
      <c r="F78" s="62"/>
      <c r="G78" s="243"/>
      <c r="H78" s="244"/>
      <c r="I78" s="243"/>
      <c r="J78" s="246"/>
      <c r="K78" s="243"/>
    </row>
    <row r="79" spans="1:11" ht="15.75" customHeight="1">
      <c r="A79" s="243"/>
      <c r="B79" s="244"/>
      <c r="C79" s="246"/>
      <c r="D79" s="246"/>
      <c r="E79" s="245"/>
      <c r="F79" s="62"/>
      <c r="G79" s="243"/>
      <c r="H79" s="244"/>
      <c r="I79" s="246"/>
      <c r="J79" s="246"/>
      <c r="K79" s="243"/>
    </row>
    <row r="80" spans="1:11" ht="15.75" customHeight="1">
      <c r="A80" s="243"/>
      <c r="B80" s="244"/>
      <c r="C80" s="246"/>
      <c r="D80" s="246"/>
      <c r="E80" s="245"/>
      <c r="F80" s="62"/>
      <c r="G80" s="243"/>
      <c r="H80" s="244"/>
      <c r="I80" s="246"/>
      <c r="J80" s="246"/>
      <c r="K80" s="243"/>
    </row>
    <row r="81" spans="1:11" ht="15.75" customHeight="1">
      <c r="A81" s="243"/>
      <c r="B81" s="244"/>
      <c r="C81" s="246"/>
      <c r="D81" s="246"/>
      <c r="E81" s="245"/>
      <c r="F81" s="62"/>
      <c r="G81" s="243"/>
      <c r="H81" s="244"/>
      <c r="I81" s="246"/>
      <c r="J81" s="246"/>
      <c r="K81" s="243"/>
    </row>
    <row r="82" spans="1:11" ht="15.75" customHeight="1">
      <c r="A82" s="243"/>
      <c r="B82" s="244"/>
      <c r="C82" s="246"/>
      <c r="D82" s="246"/>
      <c r="E82" s="245"/>
      <c r="F82" s="62"/>
      <c r="G82" s="243"/>
      <c r="H82" s="244"/>
      <c r="I82" s="246"/>
      <c r="J82" s="246"/>
      <c r="K82" s="243"/>
    </row>
    <row r="83" spans="1:11" ht="15.75" customHeight="1">
      <c r="A83" s="117"/>
      <c r="B83" s="118" t="s">
        <v>7</v>
      </c>
      <c r="C83" s="119">
        <f>SUM(C63:C82)</f>
        <v>0</v>
      </c>
      <c r="D83" s="119">
        <f>SUM(D63:D82)</f>
        <v>0</v>
      </c>
      <c r="E83" s="120"/>
      <c r="F83" s="62"/>
      <c r="G83" s="121"/>
      <c r="H83" s="122" t="s">
        <v>7</v>
      </c>
      <c r="I83" s="119">
        <f>SUM(I63:I82)</f>
        <v>0</v>
      </c>
      <c r="J83" s="119">
        <f>SUM(J63:J82)</f>
        <v>0</v>
      </c>
      <c r="K83" s="117"/>
    </row>
    <row r="86" spans="1:11" ht="15.75" customHeight="1">
      <c r="A86" s="397" t="s">
        <v>1320</v>
      </c>
      <c r="B86" s="398"/>
      <c r="C86" s="398"/>
      <c r="D86" s="398"/>
      <c r="E86" s="399"/>
      <c r="F86" s="62"/>
      <c r="G86" s="400" t="s">
        <v>1319</v>
      </c>
      <c r="H86" s="401"/>
      <c r="I86" s="401"/>
      <c r="J86" s="401"/>
      <c r="K86" s="402"/>
    </row>
    <row r="87" spans="1:11" ht="15.75" customHeight="1" thickBot="1">
      <c r="A87" s="403" t="s">
        <v>90</v>
      </c>
      <c r="B87" s="404"/>
      <c r="C87" s="404"/>
      <c r="D87" s="404"/>
      <c r="E87" s="405"/>
      <c r="F87" s="62"/>
      <c r="G87" s="406" t="s">
        <v>90</v>
      </c>
      <c r="H87" s="407"/>
      <c r="I87" s="407"/>
      <c r="J87" s="407"/>
      <c r="K87" s="408"/>
    </row>
    <row r="88" spans="1:11" ht="15.75" customHeight="1" thickBot="1">
      <c r="A88" s="87" t="s">
        <v>91</v>
      </c>
      <c r="B88" s="88">
        <v>46286</v>
      </c>
      <c r="C88" s="89"/>
      <c r="D88" s="89"/>
      <c r="E88" s="90"/>
      <c r="F88" s="62"/>
      <c r="G88" s="87" t="s">
        <v>91</v>
      </c>
      <c r="H88" s="88">
        <v>46287</v>
      </c>
      <c r="I88" s="89"/>
      <c r="J88" s="89"/>
      <c r="K88" s="90"/>
    </row>
    <row r="89" spans="1:11" ht="15.75" customHeight="1" thickBot="1">
      <c r="A89" s="87" t="s">
        <v>92</v>
      </c>
      <c r="B89" s="92" t="s">
        <v>1367</v>
      </c>
      <c r="C89" s="89"/>
      <c r="D89" s="89"/>
      <c r="E89" s="90"/>
      <c r="F89" s="62"/>
      <c r="G89" s="87" t="s">
        <v>92</v>
      </c>
      <c r="H89" s="92" t="s">
        <v>1367</v>
      </c>
      <c r="I89" s="89"/>
      <c r="J89" s="89"/>
      <c r="K89" s="90"/>
    </row>
    <row r="90" spans="1:11" ht="15.75" customHeight="1" thickBot="1">
      <c r="A90" s="93" t="s">
        <v>130</v>
      </c>
      <c r="B90" s="94" t="s">
        <v>137</v>
      </c>
      <c r="C90" s="93" t="s">
        <v>94</v>
      </c>
      <c r="D90" s="93" t="s">
        <v>30</v>
      </c>
      <c r="E90" s="95" t="s">
        <v>8</v>
      </c>
      <c r="F90" s="96"/>
      <c r="G90" s="93" t="s">
        <v>130</v>
      </c>
      <c r="H90" s="94" t="s">
        <v>137</v>
      </c>
      <c r="I90" s="93" t="s">
        <v>94</v>
      </c>
      <c r="J90" s="93" t="s">
        <v>30</v>
      </c>
      <c r="K90" s="95" t="s">
        <v>8</v>
      </c>
    </row>
    <row r="91" spans="1:11" ht="15.75" customHeight="1">
      <c r="A91" s="59"/>
      <c r="B91" s="244"/>
      <c r="C91" s="59"/>
      <c r="D91" s="59"/>
      <c r="E91" s="252"/>
      <c r="F91" s="62"/>
      <c r="G91" s="59"/>
      <c r="H91" s="350"/>
      <c r="I91" s="59"/>
      <c r="J91" s="59"/>
      <c r="K91" s="256"/>
    </row>
    <row r="92" spans="1:11" ht="15.75" customHeight="1">
      <c r="A92" s="59"/>
      <c r="B92" s="244"/>
      <c r="C92" s="59"/>
      <c r="D92" s="59"/>
      <c r="E92" s="245"/>
      <c r="F92" s="62"/>
      <c r="G92" s="59"/>
      <c r="H92" s="350"/>
      <c r="I92" s="59"/>
      <c r="J92" s="59"/>
      <c r="K92" s="257"/>
    </row>
    <row r="93" spans="1:11" ht="15.75" customHeight="1">
      <c r="A93" s="59"/>
      <c r="B93" s="244"/>
      <c r="C93" s="59"/>
      <c r="D93" s="59"/>
      <c r="E93" s="245"/>
      <c r="F93" s="62"/>
      <c r="G93" s="59"/>
      <c r="H93" s="350"/>
      <c r="I93" s="59"/>
      <c r="J93" s="59"/>
      <c r="K93" s="257"/>
    </row>
    <row r="94" spans="1:11" ht="15.75" customHeight="1">
      <c r="A94" s="59"/>
      <c r="B94" s="244"/>
      <c r="C94" s="59"/>
      <c r="D94" s="59"/>
      <c r="E94" s="245"/>
      <c r="F94" s="62"/>
      <c r="G94" s="59"/>
      <c r="H94" s="350"/>
      <c r="I94" s="59"/>
      <c r="J94" s="59"/>
      <c r="K94" s="257"/>
    </row>
    <row r="95" spans="1:11" ht="15.75" customHeight="1">
      <c r="A95" s="243"/>
      <c r="B95" s="244"/>
      <c r="C95" s="246"/>
      <c r="D95" s="246"/>
      <c r="E95" s="245"/>
      <c r="F95" s="62"/>
      <c r="G95" s="59"/>
      <c r="H95" s="350"/>
      <c r="I95" s="59"/>
      <c r="J95" s="59"/>
      <c r="K95" s="257"/>
    </row>
    <row r="96" spans="1:11" ht="15.75" customHeight="1">
      <c r="A96" s="243"/>
      <c r="B96" s="244"/>
      <c r="C96" s="246"/>
      <c r="D96" s="246"/>
      <c r="E96" s="245"/>
      <c r="F96" s="62"/>
      <c r="G96" s="59"/>
      <c r="H96" s="350"/>
      <c r="I96" s="59"/>
      <c r="J96" s="59"/>
      <c r="K96" s="257"/>
    </row>
    <row r="97" spans="1:11" ht="15.75" customHeight="1">
      <c r="A97" s="243"/>
      <c r="B97" s="244"/>
      <c r="C97" s="246"/>
      <c r="D97" s="246"/>
      <c r="E97" s="245"/>
      <c r="F97" s="62"/>
      <c r="G97" s="243"/>
      <c r="H97" s="244"/>
      <c r="I97" s="60"/>
      <c r="J97" s="60"/>
      <c r="K97" s="257"/>
    </row>
    <row r="98" spans="1:11" ht="15.75" customHeight="1">
      <c r="A98" s="243"/>
      <c r="B98" s="244"/>
      <c r="C98" s="246"/>
      <c r="D98" s="246"/>
      <c r="E98" s="245"/>
      <c r="F98" s="62"/>
      <c r="G98" s="243"/>
      <c r="H98" s="244"/>
      <c r="I98" s="60"/>
      <c r="J98" s="60"/>
      <c r="K98" s="257"/>
    </row>
    <row r="99" spans="1:11" ht="15.75" customHeight="1">
      <c r="A99" s="243"/>
      <c r="B99" s="244"/>
      <c r="C99" s="246"/>
      <c r="D99" s="246"/>
      <c r="E99" s="245"/>
      <c r="F99" s="62"/>
      <c r="G99" s="243"/>
      <c r="H99" s="244"/>
      <c r="I99" s="60"/>
      <c r="J99" s="60"/>
      <c r="K99" s="257"/>
    </row>
    <row r="100" spans="1:11" ht="15.75" customHeight="1">
      <c r="A100" s="243"/>
      <c r="B100" s="244"/>
      <c r="C100" s="246"/>
      <c r="D100" s="246"/>
      <c r="E100" s="245"/>
      <c r="F100" s="62"/>
      <c r="G100" s="243"/>
      <c r="H100" s="244"/>
      <c r="I100" s="60"/>
      <c r="J100" s="60"/>
      <c r="K100" s="257"/>
    </row>
    <row r="101" spans="1:11" ht="15.75" customHeight="1">
      <c r="A101" s="243"/>
      <c r="B101" s="244"/>
      <c r="C101" s="246"/>
      <c r="D101" s="246"/>
      <c r="E101" s="245"/>
      <c r="F101" s="62"/>
      <c r="G101" s="243"/>
      <c r="H101" s="244"/>
      <c r="I101" s="60"/>
      <c r="J101" s="60"/>
      <c r="K101" s="257"/>
    </row>
    <row r="102" spans="1:11" ht="15.75" customHeight="1">
      <c r="A102" s="243"/>
      <c r="B102" s="244"/>
      <c r="C102" s="246"/>
      <c r="D102" s="246"/>
      <c r="E102" s="245"/>
      <c r="F102" s="62"/>
      <c r="G102" s="243"/>
      <c r="H102" s="244"/>
      <c r="I102" s="258"/>
      <c r="J102" s="257"/>
      <c r="K102" s="243"/>
    </row>
    <row r="103" spans="1:11" ht="15.75" customHeight="1">
      <c r="A103" s="243"/>
      <c r="B103" s="244"/>
      <c r="C103" s="246"/>
      <c r="D103" s="246"/>
      <c r="E103" s="245"/>
      <c r="F103" s="62"/>
      <c r="G103" s="243"/>
      <c r="H103" s="244"/>
      <c r="I103" s="60"/>
      <c r="J103" s="257"/>
      <c r="K103" s="243"/>
    </row>
    <row r="104" spans="1:11" ht="15.75" customHeight="1">
      <c r="A104" s="243"/>
      <c r="B104" s="244"/>
      <c r="C104" s="246"/>
      <c r="D104" s="246"/>
      <c r="E104" s="245"/>
      <c r="F104" s="62"/>
      <c r="G104" s="243"/>
      <c r="H104" s="244"/>
      <c r="I104" s="60"/>
      <c r="J104" s="249"/>
      <c r="K104" s="243"/>
    </row>
    <row r="105" spans="1:11" ht="15.75" customHeight="1">
      <c r="A105" s="243"/>
      <c r="B105" s="244"/>
      <c r="C105" s="246"/>
      <c r="D105" s="246"/>
      <c r="E105" s="245"/>
      <c r="F105" s="62"/>
      <c r="G105" s="243"/>
      <c r="H105" s="244"/>
      <c r="I105" s="60"/>
      <c r="J105" s="249"/>
      <c r="K105" s="243"/>
    </row>
    <row r="106" spans="1:11" ht="15.75" customHeight="1">
      <c r="A106" s="243"/>
      <c r="B106" s="244"/>
      <c r="C106" s="246"/>
      <c r="D106" s="246"/>
      <c r="E106" s="245"/>
      <c r="F106" s="62"/>
      <c r="G106" s="243"/>
      <c r="H106" s="244"/>
      <c r="I106" s="243"/>
      <c r="J106" s="246"/>
      <c r="K106" s="243"/>
    </row>
    <row r="107" spans="1:11" ht="15.75" customHeight="1">
      <c r="A107" s="243"/>
      <c r="B107" s="244"/>
      <c r="C107" s="246"/>
      <c r="D107" s="246"/>
      <c r="E107" s="245"/>
      <c r="F107" s="62"/>
      <c r="G107" s="243"/>
      <c r="H107" s="244"/>
      <c r="I107" s="246"/>
      <c r="J107" s="246"/>
      <c r="K107" s="243"/>
    </row>
    <row r="108" spans="1:11" ht="15.75" customHeight="1">
      <c r="A108" s="243"/>
      <c r="B108" s="244"/>
      <c r="C108" s="246"/>
      <c r="D108" s="246"/>
      <c r="E108" s="245"/>
      <c r="F108" s="62"/>
      <c r="G108" s="243"/>
      <c r="H108" s="244"/>
      <c r="I108" s="246"/>
      <c r="J108" s="246"/>
      <c r="K108" s="243"/>
    </row>
    <row r="109" spans="1:11" ht="15.75" customHeight="1">
      <c r="A109" s="243"/>
      <c r="B109" s="244"/>
      <c r="C109" s="246"/>
      <c r="D109" s="246"/>
      <c r="E109" s="245"/>
      <c r="F109" s="62"/>
      <c r="G109" s="243"/>
      <c r="H109" s="244"/>
      <c r="I109" s="246"/>
      <c r="J109" s="246"/>
      <c r="K109" s="243"/>
    </row>
    <row r="110" spans="1:11" ht="15.75" customHeight="1">
      <c r="A110" s="243"/>
      <c r="B110" s="244"/>
      <c r="C110" s="246"/>
      <c r="D110" s="246"/>
      <c r="E110" s="245"/>
      <c r="F110" s="62"/>
      <c r="G110" s="243"/>
      <c r="H110" s="244"/>
      <c r="I110" s="246"/>
      <c r="J110" s="246"/>
      <c r="K110" s="243"/>
    </row>
    <row r="111" spans="1:11" ht="15.75" customHeight="1">
      <c r="A111" s="117"/>
      <c r="B111" s="118" t="s">
        <v>7</v>
      </c>
      <c r="C111" s="119">
        <f>SUM(C91:C110)</f>
        <v>0</v>
      </c>
      <c r="D111" s="119">
        <f>SUM(D91:D110)</f>
        <v>0</v>
      </c>
      <c r="E111" s="120"/>
      <c r="F111" s="62"/>
      <c r="G111" s="121"/>
      <c r="H111" s="122" t="s">
        <v>7</v>
      </c>
      <c r="I111" s="119">
        <f>SUM(I91:I110)</f>
        <v>0</v>
      </c>
      <c r="J111" s="119">
        <f>SUM(J91:J110)</f>
        <v>0</v>
      </c>
      <c r="K111" s="117"/>
    </row>
  </sheetData>
  <mergeCells count="16">
    <mergeCell ref="A86:E86"/>
    <mergeCell ref="G86:K86"/>
    <mergeCell ref="A87:E87"/>
    <mergeCell ref="G87:K87"/>
    <mergeCell ref="G1:K1"/>
    <mergeCell ref="G2:K2"/>
    <mergeCell ref="A1:E1"/>
    <mergeCell ref="A2:E2"/>
    <mergeCell ref="A58:E58"/>
    <mergeCell ref="G33:K33"/>
    <mergeCell ref="G34:K34"/>
    <mergeCell ref="A59:E59"/>
    <mergeCell ref="G58:K58"/>
    <mergeCell ref="G59:K59"/>
    <mergeCell ref="A33:E33"/>
    <mergeCell ref="A34:E34"/>
  </mergeCells>
  <pageMargins left="0.7" right="0.7" top="0.75" bottom="0.75" header="0.3" footer="0.3"/>
  <pageSetup scale="91" orientation="portrait" horizontalDpi="4294967294" r:id="rId1"/>
  <headerFooter>
    <oddFooter>&amp;C&amp;"Helvetica Neue,Regular"&amp;12&amp;K000000&amp;P</oddFooter>
  </headerFooter>
  <rowBreaks count="2" manualBreakCount="2">
    <brk id="26" max="4" man="1"/>
    <brk id="58" max="4" man="1"/>
  </rowBreaks>
  <colBreaks count="1" manualBreakCount="1">
    <brk id="6" max="49" man="1"/>
  </colBreak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72F7D2-04CE-4856-8AFC-E8694E53DB66}">
          <x14:formula1>
            <xm:f>'PRODUCT LIST'!$A:$A</xm:f>
          </x14:formula1>
          <xm:sqref>B69:B82 B95:B110 B38:B54 H38:H54 H9:H29 B15:B29 H65:H82 H97:H110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  <pageSetUpPr fitToPage="1"/>
  </sheetPr>
  <dimension ref="A1:IV159"/>
  <sheetViews>
    <sheetView showGridLines="0" zoomScale="96" zoomScaleNormal="96" workbookViewId="0">
      <selection activeCell="I1" sqref="I1:O29"/>
    </sheetView>
  </sheetViews>
  <sheetFormatPr baseColWidth="10" defaultColWidth="8.83203125" defaultRowHeight="15" customHeight="1"/>
  <cols>
    <col min="1" max="1" width="10.1640625" style="85" customWidth="1"/>
    <col min="2" max="2" width="37" style="154" customWidth="1"/>
    <col min="3" max="3" width="6.5" style="85" customWidth="1"/>
    <col min="4" max="4" width="10.5" style="85" customWidth="1"/>
    <col min="5" max="5" width="9.83203125" style="85" customWidth="1"/>
    <col min="6" max="6" width="17" style="85" customWidth="1"/>
    <col min="7" max="7" width="21" style="85" customWidth="1"/>
    <col min="8" max="8" width="2.6640625" style="85" customWidth="1"/>
    <col min="9" max="9" width="10.1640625" style="85" customWidth="1"/>
    <col min="10" max="10" width="37.33203125" style="85" customWidth="1"/>
    <col min="11" max="11" width="6.6640625" style="85" customWidth="1"/>
    <col min="12" max="12" width="12.1640625" style="85" customWidth="1"/>
    <col min="13" max="13" width="10" style="85" customWidth="1"/>
    <col min="14" max="14" width="17" style="85" customWidth="1"/>
    <col min="15" max="15" width="18.6640625" style="85" customWidth="1"/>
    <col min="16" max="256" width="8.83203125" style="85" customWidth="1"/>
    <col min="257" max="16384" width="8.83203125" style="86"/>
  </cols>
  <sheetData>
    <row r="1" spans="1:15" ht="15.5" customHeight="1">
      <c r="A1" s="414" t="s">
        <v>99</v>
      </c>
      <c r="B1" s="415"/>
      <c r="C1" s="415"/>
      <c r="D1" s="415"/>
      <c r="E1" s="415"/>
      <c r="F1" s="415"/>
      <c r="G1" s="416"/>
      <c r="H1" s="127"/>
      <c r="I1" s="414" t="s">
        <v>100</v>
      </c>
      <c r="J1" s="415"/>
      <c r="K1" s="415"/>
      <c r="L1" s="415"/>
      <c r="M1" s="415"/>
      <c r="N1" s="415"/>
      <c r="O1" s="416"/>
    </row>
    <row r="2" spans="1:15" ht="15.75" customHeight="1" thickBot="1">
      <c r="A2" s="422" t="s">
        <v>90</v>
      </c>
      <c r="B2" s="398"/>
      <c r="C2" s="398"/>
      <c r="D2" s="398"/>
      <c r="E2" s="398"/>
      <c r="F2" s="398"/>
      <c r="G2" s="424"/>
      <c r="H2" s="127"/>
      <c r="I2" s="422" t="s">
        <v>90</v>
      </c>
      <c r="J2" s="412"/>
      <c r="K2" s="412"/>
      <c r="L2" s="412"/>
      <c r="M2" s="412"/>
      <c r="N2" s="412"/>
      <c r="O2" s="423"/>
    </row>
    <row r="3" spans="1:15" ht="15.75" customHeight="1" thickBot="1">
      <c r="A3" s="128" t="s">
        <v>101</v>
      </c>
      <c r="B3" s="129"/>
      <c r="C3" s="130"/>
      <c r="D3" s="130"/>
      <c r="E3" s="130"/>
      <c r="F3" s="130" t="s">
        <v>91</v>
      </c>
      <c r="G3" s="347">
        <v>46271</v>
      </c>
      <c r="H3" s="131"/>
      <c r="I3" s="128" t="s">
        <v>101</v>
      </c>
      <c r="J3" s="129"/>
      <c r="K3" s="130"/>
      <c r="L3" s="130"/>
      <c r="M3" s="130"/>
      <c r="N3" s="130" t="s">
        <v>91</v>
      </c>
      <c r="O3" s="347">
        <v>46287</v>
      </c>
    </row>
    <row r="4" spans="1:15" ht="15.75" customHeight="1" thickBot="1">
      <c r="A4" s="132" t="s">
        <v>141</v>
      </c>
      <c r="B4" s="133" t="s">
        <v>1373</v>
      </c>
      <c r="C4" s="134"/>
      <c r="D4" s="134"/>
      <c r="E4" s="134"/>
      <c r="F4" s="134"/>
      <c r="G4" s="134"/>
      <c r="H4" s="131"/>
      <c r="I4" s="132" t="s">
        <v>141</v>
      </c>
      <c r="J4" s="133" t="s">
        <v>1373</v>
      </c>
      <c r="K4" s="134"/>
      <c r="L4" s="134"/>
      <c r="M4" s="134"/>
      <c r="N4" s="134"/>
      <c r="O4" s="134"/>
    </row>
    <row r="5" spans="1:15" ht="15.75" customHeight="1" thickBot="1">
      <c r="A5" s="93" t="s">
        <v>130</v>
      </c>
      <c r="B5" s="135" t="s">
        <v>137</v>
      </c>
      <c r="C5" s="136" t="s">
        <v>94</v>
      </c>
      <c r="D5" s="136" t="s">
        <v>30</v>
      </c>
      <c r="E5" s="136" t="s">
        <v>4</v>
      </c>
      <c r="F5" s="136" t="s">
        <v>102</v>
      </c>
      <c r="G5" s="136" t="s">
        <v>8</v>
      </c>
      <c r="H5" s="127"/>
      <c r="I5" s="93" t="s">
        <v>130</v>
      </c>
      <c r="J5" s="135" t="s">
        <v>137</v>
      </c>
      <c r="K5" s="136" t="s">
        <v>94</v>
      </c>
      <c r="L5" s="136" t="s">
        <v>30</v>
      </c>
      <c r="M5" s="136" t="s">
        <v>4</v>
      </c>
      <c r="N5" s="136" t="s">
        <v>102</v>
      </c>
      <c r="O5" s="136" t="s">
        <v>8</v>
      </c>
    </row>
    <row r="6" spans="1:15" ht="15.5" customHeight="1">
      <c r="A6" s="243"/>
      <c r="B6" s="244"/>
      <c r="C6" s="257"/>
      <c r="D6" s="243"/>
      <c r="E6" s="243"/>
      <c r="F6" s="260"/>
      <c r="G6" s="243"/>
      <c r="H6" s="137"/>
      <c r="I6" s="59">
        <v>15245</v>
      </c>
      <c r="J6" s="350" t="s">
        <v>1380</v>
      </c>
      <c r="K6" s="59">
        <v>1</v>
      </c>
      <c r="L6" s="59">
        <v>3000</v>
      </c>
      <c r="M6" s="218">
        <v>137</v>
      </c>
      <c r="N6" s="59">
        <v>3000</v>
      </c>
      <c r="O6" s="246"/>
    </row>
    <row r="7" spans="1:15" ht="15" customHeight="1">
      <c r="A7" s="243"/>
      <c r="B7" s="244"/>
      <c r="C7" s="249"/>
      <c r="D7" s="246"/>
      <c r="E7" s="246"/>
      <c r="F7" s="246"/>
      <c r="G7" s="246"/>
      <c r="H7" s="137"/>
      <c r="I7" s="59"/>
      <c r="J7" s="350" t="s">
        <v>1381</v>
      </c>
      <c r="K7" s="59">
        <v>1</v>
      </c>
      <c r="L7" s="59">
        <v>1650</v>
      </c>
      <c r="M7" s="59"/>
      <c r="N7" s="59">
        <v>1650</v>
      </c>
      <c r="O7" s="246"/>
    </row>
    <row r="8" spans="1:15" ht="15" customHeight="1">
      <c r="A8" s="243"/>
      <c r="B8" s="244"/>
      <c r="C8" s="249"/>
      <c r="D8" s="246"/>
      <c r="E8" s="246"/>
      <c r="F8" s="246"/>
      <c r="G8" s="246"/>
      <c r="H8" s="137"/>
      <c r="I8" s="59"/>
      <c r="J8" s="350" t="s">
        <v>1382</v>
      </c>
      <c r="K8" s="59">
        <v>1</v>
      </c>
      <c r="L8" s="59">
        <v>0</v>
      </c>
      <c r="M8" s="59"/>
      <c r="N8" s="59">
        <v>0</v>
      </c>
      <c r="O8" s="246"/>
    </row>
    <row r="9" spans="1:15" ht="15" customHeight="1">
      <c r="A9" s="243"/>
      <c r="B9" s="244"/>
      <c r="C9" s="249"/>
      <c r="D9" s="246"/>
      <c r="E9" s="246"/>
      <c r="F9" s="246"/>
      <c r="G9" s="246"/>
      <c r="H9" s="137"/>
      <c r="I9" s="59"/>
      <c r="J9" s="350" t="s">
        <v>1377</v>
      </c>
      <c r="K9" s="59">
        <v>1</v>
      </c>
      <c r="L9" s="59">
        <v>0</v>
      </c>
      <c r="M9" s="59"/>
      <c r="N9" s="59">
        <v>0</v>
      </c>
      <c r="O9" s="246"/>
    </row>
    <row r="10" spans="1:15" ht="15" customHeight="1">
      <c r="A10" s="243"/>
      <c r="B10" s="244"/>
      <c r="C10" s="246"/>
      <c r="D10" s="246"/>
      <c r="E10" s="246"/>
      <c r="F10" s="246"/>
      <c r="G10" s="246"/>
      <c r="H10" s="138"/>
      <c r="I10" s="59"/>
      <c r="J10" s="350"/>
      <c r="K10" s="59"/>
      <c r="L10" s="59"/>
      <c r="M10" s="59"/>
      <c r="N10" s="59"/>
      <c r="O10" s="246"/>
    </row>
    <row r="11" spans="1:15" ht="15" customHeight="1">
      <c r="A11" s="243"/>
      <c r="B11" s="244"/>
      <c r="C11" s="246"/>
      <c r="D11" s="246"/>
      <c r="E11" s="246"/>
      <c r="F11" s="246"/>
      <c r="G11" s="246"/>
      <c r="H11" s="138"/>
      <c r="I11" s="59"/>
      <c r="J11" s="244"/>
      <c r="K11" s="59"/>
      <c r="L11" s="59"/>
      <c r="M11" s="59"/>
      <c r="N11" s="59"/>
      <c r="O11" s="246"/>
    </row>
    <row r="12" spans="1:15" ht="15" customHeight="1">
      <c r="A12" s="243"/>
      <c r="B12" s="244"/>
      <c r="C12" s="246"/>
      <c r="D12" s="246"/>
      <c r="E12" s="246"/>
      <c r="F12" s="246"/>
      <c r="G12" s="246"/>
      <c r="H12" s="138"/>
      <c r="I12" s="243"/>
      <c r="J12" s="244"/>
      <c r="K12" s="246"/>
      <c r="L12" s="246"/>
      <c r="M12" s="246"/>
      <c r="N12" s="246"/>
      <c r="O12" s="246"/>
    </row>
    <row r="13" spans="1:15" ht="15" customHeight="1">
      <c r="A13" s="243"/>
      <c r="B13" s="244"/>
      <c r="C13" s="246"/>
      <c r="D13" s="246"/>
      <c r="E13" s="246"/>
      <c r="F13" s="246"/>
      <c r="G13" s="246"/>
      <c r="H13" s="138"/>
      <c r="I13" s="243"/>
      <c r="J13" s="244"/>
      <c r="K13" s="246"/>
      <c r="L13" s="246"/>
      <c r="M13" s="246"/>
      <c r="N13" s="246"/>
      <c r="O13" s="246"/>
    </row>
    <row r="14" spans="1:15" ht="15" customHeight="1">
      <c r="A14" s="243"/>
      <c r="B14" s="244"/>
      <c r="C14" s="246"/>
      <c r="D14" s="246"/>
      <c r="E14" s="246"/>
      <c r="F14" s="246"/>
      <c r="G14" s="246"/>
      <c r="H14" s="138"/>
      <c r="I14" s="243"/>
      <c r="J14" s="244"/>
      <c r="K14" s="246"/>
      <c r="L14" s="246"/>
      <c r="M14" s="246"/>
      <c r="N14" s="246"/>
      <c r="O14" s="246"/>
    </row>
    <row r="15" spans="1:15" ht="15" customHeight="1">
      <c r="A15" s="243"/>
      <c r="B15" s="244"/>
      <c r="C15" s="246"/>
      <c r="D15" s="246"/>
      <c r="E15" s="246"/>
      <c r="F15" s="246"/>
      <c r="G15" s="246"/>
      <c r="H15" s="138"/>
      <c r="I15" s="243"/>
      <c r="J15" s="244"/>
      <c r="K15" s="246"/>
      <c r="L15" s="246"/>
      <c r="M15" s="246"/>
      <c r="N15" s="246"/>
      <c r="O15" s="246"/>
    </row>
    <row r="16" spans="1:15" ht="15" customHeight="1">
      <c r="A16" s="243"/>
      <c r="B16" s="244"/>
      <c r="C16" s="246"/>
      <c r="D16" s="246"/>
      <c r="E16" s="246"/>
      <c r="F16" s="246"/>
      <c r="G16" s="246"/>
      <c r="H16" s="138"/>
      <c r="I16" s="243"/>
      <c r="J16" s="244"/>
      <c r="K16" s="246"/>
      <c r="L16" s="246"/>
      <c r="M16" s="246"/>
      <c r="N16" s="246"/>
      <c r="O16" s="246"/>
    </row>
    <row r="17" spans="1:15" ht="15" customHeight="1">
      <c r="A17" s="243"/>
      <c r="B17" s="244"/>
      <c r="C17" s="246"/>
      <c r="D17" s="246"/>
      <c r="E17" s="246"/>
      <c r="F17" s="246"/>
      <c r="G17" s="246"/>
      <c r="H17" s="138"/>
      <c r="I17" s="243"/>
      <c r="J17" s="244"/>
      <c r="K17" s="246"/>
      <c r="L17" s="246"/>
      <c r="M17" s="246"/>
      <c r="N17" s="246"/>
      <c r="O17" s="246"/>
    </row>
    <row r="18" spans="1:15" ht="15" customHeight="1">
      <c r="A18" s="243"/>
      <c r="B18" s="244"/>
      <c r="C18" s="246"/>
      <c r="D18" s="246"/>
      <c r="E18" s="139"/>
      <c r="F18" s="246"/>
      <c r="G18" s="246"/>
      <c r="H18" s="138"/>
      <c r="I18" s="243"/>
      <c r="J18" s="244"/>
      <c r="K18" s="246"/>
      <c r="L18" s="246"/>
      <c r="M18" s="246"/>
      <c r="N18" s="246"/>
      <c r="O18" s="246"/>
    </row>
    <row r="19" spans="1:15" ht="15" customHeight="1">
      <c r="A19" s="243"/>
      <c r="B19" s="244"/>
      <c r="C19" s="246"/>
      <c r="D19" s="246"/>
      <c r="E19" s="246"/>
      <c r="F19" s="246"/>
      <c r="G19" s="246"/>
      <c r="H19" s="138"/>
      <c r="I19" s="243"/>
      <c r="J19" s="244"/>
      <c r="K19" s="246"/>
      <c r="L19" s="246"/>
      <c r="M19" s="246"/>
      <c r="N19" s="246"/>
      <c r="O19" s="246"/>
    </row>
    <row r="20" spans="1:15" ht="15" customHeight="1">
      <c r="A20" s="243"/>
      <c r="B20" s="244"/>
      <c r="C20" s="246"/>
      <c r="D20" s="246"/>
      <c r="E20" s="246"/>
      <c r="F20" s="246"/>
      <c r="G20" s="246"/>
      <c r="H20" s="138"/>
      <c r="I20" s="243"/>
      <c r="J20" s="244"/>
      <c r="K20" s="246"/>
      <c r="L20" s="246"/>
      <c r="M20" s="246"/>
      <c r="N20" s="246"/>
      <c r="O20" s="246"/>
    </row>
    <row r="21" spans="1:15" ht="15" customHeight="1">
      <c r="A21" s="243"/>
      <c r="B21" s="244"/>
      <c r="C21" s="246"/>
      <c r="D21" s="246"/>
      <c r="E21" s="246"/>
      <c r="F21" s="246"/>
      <c r="G21" s="246"/>
      <c r="H21" s="138"/>
      <c r="I21" s="243"/>
      <c r="J21" s="244"/>
      <c r="K21" s="246"/>
      <c r="L21" s="246"/>
      <c r="M21" s="246"/>
      <c r="N21" s="246"/>
      <c r="O21" s="246"/>
    </row>
    <row r="22" spans="1:15" ht="15" customHeight="1">
      <c r="A22" s="243"/>
      <c r="B22" s="244"/>
      <c r="C22" s="246"/>
      <c r="D22" s="246"/>
      <c r="E22" s="246"/>
      <c r="F22" s="246"/>
      <c r="G22" s="246"/>
      <c r="H22" s="138"/>
      <c r="I22" s="243"/>
      <c r="J22" s="244"/>
      <c r="K22" s="246"/>
      <c r="L22" s="246"/>
      <c r="M22" s="246"/>
      <c r="N22" s="246"/>
      <c r="O22" s="246"/>
    </row>
    <row r="23" spans="1:15" ht="15" customHeight="1">
      <c r="A23" s="243"/>
      <c r="B23" s="244"/>
      <c r="C23" s="246"/>
      <c r="D23" s="246"/>
      <c r="E23" s="246"/>
      <c r="F23" s="246"/>
      <c r="G23" s="246"/>
      <c r="H23" s="138"/>
      <c r="I23" s="243"/>
      <c r="J23" s="244"/>
      <c r="K23" s="246"/>
      <c r="L23" s="246"/>
      <c r="M23" s="246"/>
      <c r="N23" s="246"/>
      <c r="O23" s="246"/>
    </row>
    <row r="24" spans="1:15" ht="15" customHeight="1">
      <c r="A24" s="243"/>
      <c r="B24" s="244"/>
      <c r="C24" s="246"/>
      <c r="D24" s="246"/>
      <c r="E24" s="246"/>
      <c r="F24" s="246"/>
      <c r="G24" s="246"/>
      <c r="H24" s="138"/>
      <c r="I24" s="243"/>
      <c r="J24" s="244"/>
      <c r="K24" s="246"/>
      <c r="L24" s="246"/>
      <c r="M24" s="246"/>
      <c r="N24" s="246"/>
      <c r="O24" s="246"/>
    </row>
    <row r="25" spans="1:15" ht="15" customHeight="1">
      <c r="A25" s="243"/>
      <c r="B25" s="244"/>
      <c r="C25" s="246"/>
      <c r="D25" s="246"/>
      <c r="E25" s="246"/>
      <c r="F25" s="246"/>
      <c r="G25" s="246"/>
      <c r="H25" s="138"/>
      <c r="I25" s="243"/>
      <c r="J25" s="244"/>
      <c r="K25" s="246"/>
      <c r="L25" s="246"/>
      <c r="M25" s="246"/>
      <c r="N25" s="246"/>
      <c r="O25" s="246"/>
    </row>
    <row r="26" spans="1:15" ht="15" customHeight="1">
      <c r="A26" s="243"/>
      <c r="B26" s="244"/>
      <c r="C26" s="246"/>
      <c r="D26" s="246"/>
      <c r="E26" s="246"/>
      <c r="F26" s="246"/>
      <c r="G26" s="246"/>
      <c r="H26" s="138"/>
      <c r="I26" s="243"/>
      <c r="J26" s="244"/>
      <c r="K26" s="246"/>
      <c r="L26" s="246"/>
      <c r="M26" s="246"/>
      <c r="N26" s="246"/>
      <c r="O26" s="246"/>
    </row>
    <row r="27" spans="1:15" ht="15" customHeight="1">
      <c r="A27" s="243"/>
      <c r="B27" s="244"/>
      <c r="C27" s="246"/>
      <c r="D27" s="246"/>
      <c r="E27" s="246"/>
      <c r="F27" s="246"/>
      <c r="G27" s="246"/>
      <c r="H27" s="138"/>
      <c r="I27" s="243"/>
      <c r="J27" s="244"/>
      <c r="K27" s="246"/>
      <c r="L27" s="246"/>
      <c r="M27" s="246"/>
      <c r="N27" s="246"/>
      <c r="O27" s="246"/>
    </row>
    <row r="28" spans="1:15" ht="15" customHeight="1">
      <c r="A28" s="243"/>
      <c r="B28" s="244"/>
      <c r="C28" s="246"/>
      <c r="D28" s="246"/>
      <c r="E28" s="246"/>
      <c r="F28" s="246"/>
      <c r="G28" s="246"/>
      <c r="H28" s="138"/>
      <c r="I28" s="243"/>
      <c r="J28" s="244"/>
      <c r="K28" s="246"/>
      <c r="L28" s="246"/>
      <c r="M28" s="246"/>
      <c r="N28" s="246"/>
      <c r="O28" s="246"/>
    </row>
    <row r="29" spans="1:15" ht="15" customHeight="1">
      <c r="A29" s="140"/>
      <c r="B29" s="141" t="s">
        <v>7</v>
      </c>
      <c r="C29" s="142">
        <f>SUM(C6:C28)</f>
        <v>0</v>
      </c>
      <c r="D29" s="142">
        <f>SUM(D6:D28)</f>
        <v>0</v>
      </c>
      <c r="E29" s="142">
        <f>SUM(E6:E28)</f>
        <v>0</v>
      </c>
      <c r="F29" s="143">
        <f>SUM(F6:F28)</f>
        <v>0</v>
      </c>
      <c r="G29" s="140"/>
      <c r="H29" s="138"/>
      <c r="I29" s="140"/>
      <c r="J29" s="144" t="s">
        <v>7</v>
      </c>
      <c r="K29" s="142">
        <f>SUM(K6:K28)</f>
        <v>4</v>
      </c>
      <c r="L29" s="142">
        <f>SUM(L6:L28)</f>
        <v>4650</v>
      </c>
      <c r="M29" s="142">
        <f>SUM(M6:M28)</f>
        <v>137</v>
      </c>
      <c r="N29" s="143">
        <f>SUM(N6:N28)</f>
        <v>4650</v>
      </c>
      <c r="O29" s="140"/>
    </row>
    <row r="30" spans="1:15" ht="15" customHeight="1" thickBot="1">
      <c r="A30" s="145"/>
      <c r="B30" s="146"/>
      <c r="C30" s="145"/>
      <c r="D30" s="145"/>
      <c r="E30" s="145"/>
      <c r="F30" s="145"/>
      <c r="G30" s="145"/>
      <c r="H30" s="147"/>
      <c r="I30" s="145"/>
      <c r="J30" s="145"/>
      <c r="K30" s="145"/>
      <c r="L30" s="145"/>
      <c r="M30" s="145"/>
      <c r="N30" s="145"/>
      <c r="O30" s="145"/>
    </row>
    <row r="31" spans="1:15" ht="15.5" customHeight="1">
      <c r="A31" s="414" t="s">
        <v>99</v>
      </c>
      <c r="B31" s="415"/>
      <c r="C31" s="415"/>
      <c r="D31" s="415"/>
      <c r="E31" s="415"/>
      <c r="F31" s="415"/>
      <c r="G31" s="416"/>
      <c r="H31" s="127"/>
      <c r="I31" s="414" t="s">
        <v>100</v>
      </c>
      <c r="J31" s="415"/>
      <c r="K31" s="415"/>
      <c r="L31" s="415"/>
      <c r="M31" s="415"/>
      <c r="N31" s="415"/>
      <c r="O31" s="416"/>
    </row>
    <row r="32" spans="1:15" ht="15.75" customHeight="1" thickBot="1">
      <c r="A32" s="422" t="s">
        <v>90</v>
      </c>
      <c r="B32" s="398"/>
      <c r="C32" s="398"/>
      <c r="D32" s="398"/>
      <c r="E32" s="398"/>
      <c r="F32" s="398"/>
      <c r="G32" s="424"/>
      <c r="H32" s="127"/>
      <c r="I32" s="422" t="s">
        <v>90</v>
      </c>
      <c r="J32" s="412"/>
      <c r="K32" s="412"/>
      <c r="L32" s="412"/>
      <c r="M32" s="412"/>
      <c r="N32" s="412"/>
      <c r="O32" s="423"/>
    </row>
    <row r="33" spans="1:15" ht="15.75" customHeight="1" thickBot="1">
      <c r="A33" s="128" t="s">
        <v>103</v>
      </c>
      <c r="B33" s="129"/>
      <c r="C33" s="130"/>
      <c r="D33" s="130"/>
      <c r="E33" s="130"/>
      <c r="F33" s="130" t="s">
        <v>91</v>
      </c>
      <c r="G33" s="130"/>
      <c r="H33" s="131"/>
      <c r="I33" s="128" t="s">
        <v>103</v>
      </c>
      <c r="J33" s="129"/>
      <c r="K33" s="130"/>
      <c r="L33" s="130"/>
      <c r="M33" s="130"/>
      <c r="N33" s="130" t="s">
        <v>91</v>
      </c>
      <c r="O33" s="130"/>
    </row>
    <row r="34" spans="1:15" ht="15.75" customHeight="1" thickBot="1">
      <c r="A34" s="132" t="s">
        <v>141</v>
      </c>
      <c r="B34" s="133"/>
      <c r="C34" s="134"/>
      <c r="D34" s="134"/>
      <c r="E34" s="134"/>
      <c r="F34" s="134"/>
      <c r="G34" s="134"/>
      <c r="H34" s="131"/>
      <c r="I34" s="132" t="s">
        <v>141</v>
      </c>
      <c r="J34" s="133"/>
      <c r="K34" s="134"/>
      <c r="L34" s="134"/>
      <c r="M34" s="134"/>
      <c r="N34" s="134"/>
      <c r="O34" s="134"/>
    </row>
    <row r="35" spans="1:15" ht="15.75" customHeight="1" thickBot="1">
      <c r="A35" s="93" t="s">
        <v>130</v>
      </c>
      <c r="B35" s="135" t="s">
        <v>137</v>
      </c>
      <c r="C35" s="136" t="s">
        <v>94</v>
      </c>
      <c r="D35" s="136" t="s">
        <v>30</v>
      </c>
      <c r="E35" s="136" t="s">
        <v>4</v>
      </c>
      <c r="F35" s="136" t="s">
        <v>102</v>
      </c>
      <c r="G35" s="136" t="s">
        <v>8</v>
      </c>
      <c r="H35" s="127"/>
      <c r="I35" s="93" t="s">
        <v>130</v>
      </c>
      <c r="J35" s="135" t="s">
        <v>137</v>
      </c>
      <c r="K35" s="136" t="s">
        <v>94</v>
      </c>
      <c r="L35" s="136" t="s">
        <v>30</v>
      </c>
      <c r="M35" s="136" t="s">
        <v>4</v>
      </c>
      <c r="N35" s="136" t="s">
        <v>102</v>
      </c>
      <c r="O35" s="136" t="s">
        <v>8</v>
      </c>
    </row>
    <row r="36" spans="1:15" ht="15.5" customHeight="1">
      <c r="A36" s="243"/>
      <c r="B36" s="244"/>
      <c r="C36" s="257"/>
      <c r="D36" s="243"/>
      <c r="E36" s="243"/>
      <c r="F36" s="260"/>
      <c r="G36" s="243"/>
      <c r="H36" s="137"/>
      <c r="I36" s="243"/>
      <c r="J36" s="244"/>
      <c r="K36" s="254"/>
      <c r="L36" s="254"/>
      <c r="M36" s="254"/>
      <c r="N36" s="263"/>
      <c r="O36" s="246"/>
    </row>
    <row r="37" spans="1:15" ht="15" customHeight="1">
      <c r="A37" s="243"/>
      <c r="B37" s="244"/>
      <c r="C37" s="249"/>
      <c r="D37" s="246"/>
      <c r="E37" s="246"/>
      <c r="F37" s="246"/>
      <c r="G37" s="246"/>
      <c r="H37" s="137"/>
      <c r="I37" s="243"/>
      <c r="J37" s="244"/>
      <c r="K37" s="246"/>
      <c r="L37" s="246"/>
      <c r="M37" s="246"/>
      <c r="N37" s="246"/>
      <c r="O37" s="246"/>
    </row>
    <row r="38" spans="1:15" ht="15" customHeight="1">
      <c r="A38" s="243"/>
      <c r="B38" s="244"/>
      <c r="C38" s="249"/>
      <c r="D38" s="246"/>
      <c r="E38" s="246"/>
      <c r="F38" s="246"/>
      <c r="G38" s="246"/>
      <c r="H38" s="137"/>
      <c r="I38" s="243"/>
      <c r="J38" s="244"/>
      <c r="K38" s="246"/>
      <c r="L38" s="246"/>
      <c r="M38" s="246"/>
      <c r="N38" s="246"/>
      <c r="O38" s="246"/>
    </row>
    <row r="39" spans="1:15" ht="15" customHeight="1">
      <c r="A39" s="243"/>
      <c r="B39" s="244"/>
      <c r="C39" s="249"/>
      <c r="D39" s="246"/>
      <c r="E39" s="246"/>
      <c r="F39" s="246"/>
      <c r="G39" s="246"/>
      <c r="H39" s="137"/>
      <c r="I39" s="243"/>
      <c r="J39" s="244"/>
      <c r="K39" s="246"/>
      <c r="L39" s="246"/>
      <c r="M39" s="246"/>
      <c r="N39" s="246"/>
      <c r="O39" s="246"/>
    </row>
    <row r="40" spans="1:15" ht="15" customHeight="1">
      <c r="A40" s="243"/>
      <c r="B40" s="244"/>
      <c r="C40" s="246"/>
      <c r="D40" s="246"/>
      <c r="E40" s="246"/>
      <c r="F40" s="246"/>
      <c r="G40" s="246"/>
      <c r="H40" s="138"/>
      <c r="I40" s="243"/>
      <c r="J40" s="244"/>
      <c r="K40" s="246"/>
      <c r="L40" s="246"/>
      <c r="M40" s="246"/>
      <c r="N40" s="246"/>
      <c r="O40" s="246"/>
    </row>
    <row r="41" spans="1:15" ht="15" customHeight="1">
      <c r="A41" s="243"/>
      <c r="B41" s="244"/>
      <c r="C41" s="246"/>
      <c r="D41" s="246"/>
      <c r="E41" s="246"/>
      <c r="F41" s="246"/>
      <c r="G41" s="246"/>
      <c r="H41" s="138"/>
      <c r="I41" s="243"/>
      <c r="J41" s="244"/>
      <c r="K41" s="246"/>
      <c r="L41" s="246"/>
      <c r="M41" s="246"/>
      <c r="N41" s="246"/>
      <c r="O41" s="246"/>
    </row>
    <row r="42" spans="1:15" ht="15" customHeight="1">
      <c r="A42" s="243"/>
      <c r="B42" s="244"/>
      <c r="C42" s="246"/>
      <c r="D42" s="246"/>
      <c r="E42" s="246"/>
      <c r="F42" s="246"/>
      <c r="G42" s="246"/>
      <c r="H42" s="138"/>
      <c r="I42" s="243"/>
      <c r="J42" s="244"/>
      <c r="K42" s="246"/>
      <c r="L42" s="246"/>
      <c r="M42" s="246"/>
      <c r="N42" s="246"/>
      <c r="O42" s="246"/>
    </row>
    <row r="43" spans="1:15" ht="15" customHeight="1">
      <c r="A43" s="243"/>
      <c r="B43" s="244"/>
      <c r="C43" s="246"/>
      <c r="D43" s="246"/>
      <c r="E43" s="246"/>
      <c r="F43" s="246"/>
      <c r="G43" s="246"/>
      <c r="H43" s="138"/>
      <c r="I43" s="243"/>
      <c r="J43" s="244"/>
      <c r="K43" s="246"/>
      <c r="L43" s="246"/>
      <c r="M43" s="246"/>
      <c r="N43" s="246"/>
      <c r="O43" s="246"/>
    </row>
    <row r="44" spans="1:15" ht="15" customHeight="1">
      <c r="A44" s="243"/>
      <c r="B44" s="244"/>
      <c r="C44" s="246"/>
      <c r="D44" s="246"/>
      <c r="E44" s="246"/>
      <c r="F44" s="246"/>
      <c r="G44" s="246"/>
      <c r="H44" s="138"/>
      <c r="I44" s="243"/>
      <c r="J44" s="244"/>
      <c r="K44" s="246"/>
      <c r="L44" s="246"/>
      <c r="M44" s="246"/>
      <c r="N44" s="246"/>
      <c r="O44" s="246"/>
    </row>
    <row r="45" spans="1:15" ht="15" customHeight="1">
      <c r="A45" s="243"/>
      <c r="B45" s="244"/>
      <c r="C45" s="246"/>
      <c r="D45" s="246"/>
      <c r="E45" s="246"/>
      <c r="F45" s="246"/>
      <c r="G45" s="246"/>
      <c r="H45" s="138"/>
      <c r="I45" s="243"/>
      <c r="J45" s="244"/>
      <c r="K45" s="246"/>
      <c r="L45" s="246"/>
      <c r="M45" s="246"/>
      <c r="N45" s="246"/>
      <c r="O45" s="246"/>
    </row>
    <row r="46" spans="1:15" ht="15" customHeight="1">
      <c r="A46" s="243"/>
      <c r="B46" s="244"/>
      <c r="C46" s="246"/>
      <c r="D46" s="246"/>
      <c r="E46" s="246"/>
      <c r="F46" s="246"/>
      <c r="G46" s="246"/>
      <c r="H46" s="138"/>
      <c r="I46" s="243"/>
      <c r="J46" s="244"/>
      <c r="K46" s="246"/>
      <c r="L46" s="246"/>
      <c r="M46" s="246"/>
      <c r="N46" s="246"/>
      <c r="O46" s="246"/>
    </row>
    <row r="47" spans="1:15" ht="15" customHeight="1">
      <c r="A47" s="243"/>
      <c r="B47" s="244"/>
      <c r="C47" s="246"/>
      <c r="D47" s="246"/>
      <c r="E47" s="246"/>
      <c r="F47" s="246"/>
      <c r="G47" s="246"/>
      <c r="H47" s="138"/>
      <c r="I47" s="243"/>
      <c r="J47" s="244"/>
      <c r="K47" s="246"/>
      <c r="L47" s="246"/>
      <c r="M47" s="246"/>
      <c r="N47" s="246"/>
      <c r="O47" s="246"/>
    </row>
    <row r="48" spans="1:15" ht="15" customHeight="1">
      <c r="A48" s="243"/>
      <c r="B48" s="244"/>
      <c r="C48" s="246"/>
      <c r="D48" s="246"/>
      <c r="E48" s="139"/>
      <c r="F48" s="246"/>
      <c r="G48" s="246"/>
      <c r="H48" s="138"/>
      <c r="I48" s="243"/>
      <c r="J48" s="244"/>
      <c r="K48" s="246"/>
      <c r="L48" s="246"/>
      <c r="M48" s="246"/>
      <c r="N48" s="246"/>
      <c r="O48" s="246"/>
    </row>
    <row r="49" spans="1:15" ht="15" customHeight="1">
      <c r="A49" s="243"/>
      <c r="B49" s="244"/>
      <c r="C49" s="246"/>
      <c r="D49" s="246"/>
      <c r="E49" s="246"/>
      <c r="F49" s="246"/>
      <c r="G49" s="246"/>
      <c r="H49" s="138"/>
      <c r="I49" s="243"/>
      <c r="J49" s="244"/>
      <c r="K49" s="246"/>
      <c r="L49" s="246"/>
      <c r="M49" s="246"/>
      <c r="N49" s="246"/>
      <c r="O49" s="246"/>
    </row>
    <row r="50" spans="1:15" ht="15" customHeight="1">
      <c r="A50" s="243"/>
      <c r="B50" s="244"/>
      <c r="C50" s="246"/>
      <c r="D50" s="246"/>
      <c r="E50" s="246"/>
      <c r="F50" s="246"/>
      <c r="G50" s="246"/>
      <c r="H50" s="138"/>
      <c r="I50" s="243"/>
      <c r="J50" s="244"/>
      <c r="K50" s="246"/>
      <c r="L50" s="246"/>
      <c r="M50" s="246"/>
      <c r="N50" s="246"/>
      <c r="O50" s="246"/>
    </row>
    <row r="51" spans="1:15" ht="15" customHeight="1">
      <c r="A51" s="243"/>
      <c r="B51" s="244"/>
      <c r="C51" s="246"/>
      <c r="D51" s="246"/>
      <c r="E51" s="246"/>
      <c r="F51" s="246"/>
      <c r="G51" s="246"/>
      <c r="H51" s="138"/>
      <c r="I51" s="243"/>
      <c r="J51" s="244"/>
      <c r="K51" s="246"/>
      <c r="L51" s="246"/>
      <c r="M51" s="246"/>
      <c r="N51" s="246"/>
      <c r="O51" s="246"/>
    </row>
    <row r="52" spans="1:15" ht="15" customHeight="1">
      <c r="A52" s="243"/>
      <c r="B52" s="244"/>
      <c r="C52" s="246"/>
      <c r="D52" s="246"/>
      <c r="E52" s="246"/>
      <c r="F52" s="246"/>
      <c r="G52" s="246"/>
      <c r="H52" s="138"/>
      <c r="I52" s="243"/>
      <c r="J52" s="244"/>
      <c r="K52" s="246"/>
      <c r="L52" s="246"/>
      <c r="M52" s="246"/>
      <c r="N52" s="246"/>
      <c r="O52" s="246"/>
    </row>
    <row r="53" spans="1:15" ht="15" customHeight="1">
      <c r="A53" s="243"/>
      <c r="B53" s="244"/>
      <c r="C53" s="246"/>
      <c r="D53" s="246"/>
      <c r="E53" s="246"/>
      <c r="F53" s="246"/>
      <c r="G53" s="246"/>
      <c r="H53" s="138"/>
      <c r="I53" s="243"/>
      <c r="J53" s="244"/>
      <c r="K53" s="246"/>
      <c r="L53" s="246"/>
      <c r="M53" s="246"/>
      <c r="N53" s="246"/>
      <c r="O53" s="246"/>
    </row>
    <row r="54" spans="1:15" ht="15" customHeight="1">
      <c r="A54" s="243"/>
      <c r="B54" s="244"/>
      <c r="C54" s="246"/>
      <c r="D54" s="246"/>
      <c r="E54" s="246"/>
      <c r="F54" s="246"/>
      <c r="G54" s="246"/>
      <c r="H54" s="138"/>
      <c r="I54" s="243"/>
      <c r="J54" s="244"/>
      <c r="K54" s="246"/>
      <c r="L54" s="246"/>
      <c r="M54" s="246"/>
      <c r="N54" s="246"/>
      <c r="O54" s="246"/>
    </row>
    <row r="55" spans="1:15" ht="15" customHeight="1">
      <c r="A55" s="243"/>
      <c r="B55" s="244"/>
      <c r="C55" s="246"/>
      <c r="D55" s="246"/>
      <c r="E55" s="246"/>
      <c r="F55" s="246"/>
      <c r="G55" s="246"/>
      <c r="H55" s="138"/>
      <c r="I55" s="243"/>
      <c r="J55" s="244"/>
      <c r="K55" s="246"/>
      <c r="L55" s="246"/>
      <c r="M55" s="246"/>
      <c r="N55" s="246"/>
      <c r="O55" s="246"/>
    </row>
    <row r="56" spans="1:15" ht="15" customHeight="1">
      <c r="A56" s="243"/>
      <c r="B56" s="244"/>
      <c r="C56" s="246"/>
      <c r="D56" s="246"/>
      <c r="E56" s="246"/>
      <c r="F56" s="246"/>
      <c r="G56" s="246"/>
      <c r="H56" s="138"/>
      <c r="I56" s="243"/>
      <c r="J56" s="244"/>
      <c r="K56" s="246"/>
      <c r="L56" s="246"/>
      <c r="M56" s="246"/>
      <c r="N56" s="246"/>
      <c r="O56" s="246"/>
    </row>
    <row r="57" spans="1:15" ht="15" customHeight="1">
      <c r="A57" s="243"/>
      <c r="B57" s="244"/>
      <c r="C57" s="246"/>
      <c r="D57" s="246"/>
      <c r="E57" s="246"/>
      <c r="F57" s="246"/>
      <c r="G57" s="246"/>
      <c r="H57" s="138"/>
      <c r="I57" s="243"/>
      <c r="J57" s="244"/>
      <c r="K57" s="246"/>
      <c r="L57" s="246"/>
      <c r="M57" s="246"/>
      <c r="N57" s="246"/>
      <c r="O57" s="246"/>
    </row>
    <row r="58" spans="1:15" ht="15" customHeight="1">
      <c r="A58" s="243"/>
      <c r="B58" s="244"/>
      <c r="C58" s="246"/>
      <c r="D58" s="246"/>
      <c r="E58" s="246"/>
      <c r="F58" s="246"/>
      <c r="G58" s="246"/>
      <c r="H58" s="138"/>
      <c r="I58" s="243"/>
      <c r="J58" s="244"/>
      <c r="K58" s="246"/>
      <c r="L58" s="246"/>
      <c r="M58" s="246"/>
      <c r="N58" s="246"/>
      <c r="O58" s="246"/>
    </row>
    <row r="59" spans="1:15" ht="15" customHeight="1">
      <c r="A59" s="140"/>
      <c r="B59" s="141" t="s">
        <v>7</v>
      </c>
      <c r="C59" s="142">
        <f>SUM(C36:C58)</f>
        <v>0</v>
      </c>
      <c r="D59" s="142">
        <f>SUM(D36:D58)</f>
        <v>0</v>
      </c>
      <c r="E59" s="142">
        <f>SUM(E36:E58)</f>
        <v>0</v>
      </c>
      <c r="F59" s="143">
        <f>SUM(F36:F58)</f>
        <v>0</v>
      </c>
      <c r="G59" s="140"/>
      <c r="H59" s="138"/>
      <c r="I59" s="140"/>
      <c r="J59" s="144" t="s">
        <v>7</v>
      </c>
      <c r="K59" s="142">
        <f>SUM(K36:K58)</f>
        <v>0</v>
      </c>
      <c r="L59" s="142">
        <f>SUM(L36:L58)</f>
        <v>0</v>
      </c>
      <c r="M59" s="142">
        <f>SUM(M36:M58)</f>
        <v>0</v>
      </c>
      <c r="N59" s="143">
        <f>SUM(N36:N58)</f>
        <v>0</v>
      </c>
      <c r="O59" s="140"/>
    </row>
    <row r="60" spans="1:15" ht="15" customHeight="1">
      <c r="A60" s="289"/>
      <c r="B60" s="290"/>
      <c r="C60" s="289"/>
      <c r="D60" s="289"/>
      <c r="E60" s="289"/>
      <c r="F60" s="289"/>
      <c r="G60" s="289"/>
      <c r="H60" s="147"/>
      <c r="I60" s="289"/>
      <c r="J60" s="289"/>
      <c r="K60" s="289"/>
      <c r="L60" s="289"/>
      <c r="M60" s="289"/>
      <c r="N60" s="289"/>
      <c r="O60" s="289"/>
    </row>
    <row r="61" spans="1:15" ht="15" customHeight="1">
      <c r="A61" s="289"/>
      <c r="B61" s="290"/>
      <c r="C61" s="289"/>
      <c r="D61" s="289"/>
      <c r="E61" s="289"/>
      <c r="F61" s="289"/>
      <c r="G61" s="289"/>
      <c r="H61" s="147"/>
      <c r="I61" s="289"/>
      <c r="J61" s="289"/>
      <c r="K61" s="289"/>
      <c r="L61" s="289"/>
      <c r="M61" s="289"/>
      <c r="N61" s="289"/>
      <c r="O61" s="289"/>
    </row>
    <row r="62" spans="1:15" ht="15" customHeight="1">
      <c r="A62" s="289"/>
      <c r="B62" s="290"/>
      <c r="C62" s="289"/>
      <c r="D62" s="289"/>
      <c r="E62" s="289"/>
      <c r="F62" s="289"/>
      <c r="G62" s="289"/>
      <c r="H62" s="147"/>
      <c r="I62" s="289"/>
      <c r="J62" s="289"/>
      <c r="K62" s="289"/>
      <c r="L62" s="289"/>
      <c r="M62" s="289"/>
      <c r="N62" s="289"/>
      <c r="O62" s="289"/>
    </row>
    <row r="63" spans="1:15" ht="15.75" customHeight="1" thickBot="1">
      <c r="A63" s="148"/>
      <c r="B63" s="149"/>
      <c r="C63" s="148"/>
      <c r="D63" s="148"/>
      <c r="E63" s="148"/>
      <c r="F63" s="148"/>
      <c r="G63" s="148"/>
      <c r="H63" s="147"/>
      <c r="I63" s="148"/>
      <c r="J63" s="148"/>
      <c r="K63" s="148"/>
      <c r="L63" s="148"/>
      <c r="M63" s="148"/>
      <c r="N63" s="148"/>
      <c r="O63" s="148"/>
    </row>
    <row r="64" spans="1:15" ht="15.5" customHeight="1">
      <c r="A64" s="414" t="s">
        <v>104</v>
      </c>
      <c r="B64" s="415"/>
      <c r="C64" s="415"/>
      <c r="D64" s="415"/>
      <c r="E64" s="415"/>
      <c r="F64" s="415"/>
      <c r="G64" s="416"/>
      <c r="H64" s="127"/>
      <c r="I64" s="414" t="s">
        <v>105</v>
      </c>
      <c r="J64" s="415"/>
      <c r="K64" s="415"/>
      <c r="L64" s="415"/>
      <c r="M64" s="415"/>
      <c r="N64" s="415"/>
      <c r="O64" s="416"/>
    </row>
    <row r="65" spans="1:15" ht="15.75" customHeight="1" thickBot="1">
      <c r="A65" s="400" t="s">
        <v>90</v>
      </c>
      <c r="B65" s="398"/>
      <c r="C65" s="398"/>
      <c r="D65" s="398"/>
      <c r="E65" s="398"/>
      <c r="F65" s="398"/>
      <c r="G65" s="424"/>
      <c r="H65" s="127"/>
      <c r="I65" s="422" t="s">
        <v>90</v>
      </c>
      <c r="J65" s="412"/>
      <c r="K65" s="412"/>
      <c r="L65" s="412"/>
      <c r="M65" s="412"/>
      <c r="N65" s="412"/>
      <c r="O65" s="423"/>
    </row>
    <row r="66" spans="1:15" ht="15.75" customHeight="1" thickBot="1">
      <c r="A66" s="150" t="s">
        <v>91</v>
      </c>
      <c r="B66" s="151"/>
      <c r="C66" s="151"/>
      <c r="D66" s="151"/>
      <c r="E66" s="151"/>
      <c r="F66" s="151"/>
      <c r="G66" s="151"/>
      <c r="H66" s="131"/>
      <c r="I66" s="150" t="s">
        <v>91</v>
      </c>
      <c r="J66" s="151"/>
      <c r="K66" s="151"/>
      <c r="L66" s="151"/>
      <c r="M66" s="151"/>
      <c r="N66" s="151"/>
      <c r="O66" s="151"/>
    </row>
    <row r="67" spans="1:15" ht="15.75" customHeight="1" thickBot="1">
      <c r="A67" s="132" t="s">
        <v>141</v>
      </c>
      <c r="B67" s="133"/>
      <c r="C67" s="134"/>
      <c r="D67" s="134"/>
      <c r="E67" s="134"/>
      <c r="F67" s="134"/>
      <c r="G67" s="134"/>
      <c r="H67" s="127"/>
      <c r="I67" s="132" t="s">
        <v>141</v>
      </c>
      <c r="J67" s="133"/>
      <c r="K67" s="134"/>
      <c r="L67" s="134"/>
      <c r="M67" s="134"/>
      <c r="N67" s="134"/>
      <c r="O67" s="134"/>
    </row>
    <row r="68" spans="1:15" ht="15.75" customHeight="1" thickBot="1">
      <c r="A68" s="93" t="s">
        <v>130</v>
      </c>
      <c r="B68" s="135" t="s">
        <v>137</v>
      </c>
      <c r="C68" s="152" t="s">
        <v>94</v>
      </c>
      <c r="D68" s="152" t="s">
        <v>30</v>
      </c>
      <c r="E68" s="152" t="s">
        <v>4</v>
      </c>
      <c r="F68" s="152" t="s">
        <v>102</v>
      </c>
      <c r="G68" s="152" t="s">
        <v>8</v>
      </c>
      <c r="H68" s="127"/>
      <c r="I68" s="93" t="s">
        <v>130</v>
      </c>
      <c r="J68" s="135" t="s">
        <v>137</v>
      </c>
      <c r="K68" s="152" t="s">
        <v>94</v>
      </c>
      <c r="L68" s="152" t="s">
        <v>30</v>
      </c>
      <c r="M68" s="152" t="s">
        <v>4</v>
      </c>
      <c r="N68" s="152" t="s">
        <v>102</v>
      </c>
      <c r="O68" s="152" t="s">
        <v>8</v>
      </c>
    </row>
    <row r="69" spans="1:15" ht="15.5" customHeight="1">
      <c r="A69" s="243"/>
      <c r="B69" s="244"/>
      <c r="C69" s="254"/>
      <c r="D69" s="254"/>
      <c r="E69" s="254"/>
      <c r="F69" s="254"/>
      <c r="G69" s="254"/>
      <c r="H69" s="138"/>
      <c r="I69" s="243"/>
      <c r="J69" s="244"/>
      <c r="K69" s="254"/>
      <c r="L69" s="254"/>
      <c r="M69" s="254"/>
      <c r="N69" s="254"/>
      <c r="O69" s="254"/>
    </row>
    <row r="70" spans="1:15" ht="15" customHeight="1">
      <c r="A70" s="243"/>
      <c r="B70" s="244"/>
      <c r="C70" s="246"/>
      <c r="D70" s="246"/>
      <c r="E70" s="246"/>
      <c r="F70" s="246"/>
      <c r="G70" s="246"/>
      <c r="H70" s="138"/>
      <c r="I70" s="243"/>
      <c r="J70" s="244"/>
      <c r="K70" s="246"/>
      <c r="L70" s="246"/>
      <c r="M70" s="246"/>
      <c r="N70" s="246"/>
      <c r="O70" s="246"/>
    </row>
    <row r="71" spans="1:15" ht="15" customHeight="1">
      <c r="A71" s="243"/>
      <c r="B71" s="244"/>
      <c r="C71" s="246"/>
      <c r="D71" s="246"/>
      <c r="E71" s="246"/>
      <c r="F71" s="246"/>
      <c r="G71" s="246"/>
      <c r="H71" s="138"/>
      <c r="I71" s="243"/>
      <c r="J71" s="244"/>
      <c r="K71" s="246"/>
      <c r="L71" s="246"/>
      <c r="M71" s="246"/>
      <c r="N71" s="246"/>
      <c r="O71" s="246"/>
    </row>
    <row r="72" spans="1:15" ht="15" customHeight="1">
      <c r="A72" s="243"/>
      <c r="B72" s="244"/>
      <c r="C72" s="246"/>
      <c r="D72" s="246"/>
      <c r="E72" s="246"/>
      <c r="F72" s="246"/>
      <c r="G72" s="246"/>
      <c r="H72" s="138"/>
      <c r="I72" s="243"/>
      <c r="J72" s="244"/>
      <c r="K72" s="246"/>
      <c r="L72" s="246"/>
      <c r="M72" s="246"/>
      <c r="N72" s="246"/>
      <c r="O72" s="246"/>
    </row>
    <row r="73" spans="1:15" ht="15" customHeight="1">
      <c r="A73" s="243"/>
      <c r="B73" s="244"/>
      <c r="C73" s="246"/>
      <c r="D73" s="246"/>
      <c r="E73" s="246"/>
      <c r="F73" s="246"/>
      <c r="G73" s="246"/>
      <c r="H73" s="138"/>
      <c r="I73" s="243"/>
      <c r="J73" s="244"/>
      <c r="K73" s="246"/>
      <c r="L73" s="246"/>
      <c r="M73" s="246"/>
      <c r="N73" s="246"/>
      <c r="O73" s="246"/>
    </row>
    <row r="74" spans="1:15" ht="15" customHeight="1">
      <c r="A74" s="243"/>
      <c r="B74" s="244"/>
      <c r="C74" s="246"/>
      <c r="D74" s="246"/>
      <c r="E74" s="246"/>
      <c r="F74" s="246"/>
      <c r="G74" s="246"/>
      <c r="H74" s="138"/>
      <c r="I74" s="243"/>
      <c r="J74" s="244"/>
      <c r="K74" s="246"/>
      <c r="L74" s="246"/>
      <c r="M74" s="246"/>
      <c r="N74" s="246"/>
      <c r="O74" s="246"/>
    </row>
    <row r="75" spans="1:15" ht="15" customHeight="1">
      <c r="A75" s="243"/>
      <c r="B75" s="244"/>
      <c r="C75" s="246"/>
      <c r="D75" s="246"/>
      <c r="E75" s="246"/>
      <c r="F75" s="246"/>
      <c r="G75" s="246"/>
      <c r="H75" s="138"/>
      <c r="I75" s="243"/>
      <c r="J75" s="244"/>
      <c r="K75" s="246"/>
      <c r="L75" s="246"/>
      <c r="M75" s="246"/>
      <c r="N75" s="246"/>
      <c r="O75" s="246"/>
    </row>
    <row r="76" spans="1:15" ht="15" customHeight="1">
      <c r="A76" s="243"/>
      <c r="B76" s="244"/>
      <c r="C76" s="246"/>
      <c r="D76" s="246"/>
      <c r="E76" s="246"/>
      <c r="F76" s="246"/>
      <c r="G76" s="246"/>
      <c r="H76" s="138"/>
      <c r="I76" s="243"/>
      <c r="J76" s="244"/>
      <c r="K76" s="246"/>
      <c r="L76" s="246"/>
      <c r="M76" s="246"/>
      <c r="N76" s="246"/>
      <c r="O76" s="246"/>
    </row>
    <row r="77" spans="1:15" ht="15" customHeight="1">
      <c r="A77" s="243"/>
      <c r="B77" s="244"/>
      <c r="C77" s="246"/>
      <c r="D77" s="246"/>
      <c r="E77" s="246"/>
      <c r="F77" s="246"/>
      <c r="G77" s="246"/>
      <c r="H77" s="138"/>
      <c r="I77" s="243"/>
      <c r="J77" s="244"/>
      <c r="K77" s="246"/>
      <c r="L77" s="246"/>
      <c r="M77" s="246"/>
      <c r="N77" s="246"/>
      <c r="O77" s="246"/>
    </row>
    <row r="78" spans="1:15" ht="15" customHeight="1">
      <c r="A78" s="243"/>
      <c r="B78" s="244"/>
      <c r="C78" s="246"/>
      <c r="D78" s="246"/>
      <c r="E78" s="246"/>
      <c r="F78" s="246"/>
      <c r="G78" s="246"/>
      <c r="H78" s="138"/>
      <c r="I78" s="243"/>
      <c r="J78" s="244"/>
      <c r="K78" s="246"/>
      <c r="L78" s="246"/>
      <c r="M78" s="246"/>
      <c r="N78" s="246"/>
      <c r="O78" s="246"/>
    </row>
    <row r="79" spans="1:15" ht="15" customHeight="1">
      <c r="A79" s="243"/>
      <c r="B79" s="244"/>
      <c r="C79" s="246"/>
      <c r="D79" s="246"/>
      <c r="E79" s="246"/>
      <c r="F79" s="246"/>
      <c r="G79" s="246"/>
      <c r="H79" s="138"/>
      <c r="I79" s="243"/>
      <c r="J79" s="244"/>
      <c r="K79" s="246"/>
      <c r="L79" s="246"/>
      <c r="M79" s="246"/>
      <c r="N79" s="246"/>
      <c r="O79" s="246"/>
    </row>
    <row r="80" spans="1:15" ht="15" customHeight="1">
      <c r="A80" s="243"/>
      <c r="B80" s="244"/>
      <c r="C80" s="246"/>
      <c r="D80" s="246"/>
      <c r="E80" s="246"/>
      <c r="F80" s="246"/>
      <c r="G80" s="246"/>
      <c r="H80" s="138"/>
      <c r="I80" s="243"/>
      <c r="J80" s="244"/>
      <c r="K80" s="246"/>
      <c r="L80" s="246"/>
      <c r="M80" s="246"/>
      <c r="N80" s="246"/>
      <c r="O80" s="246"/>
    </row>
    <row r="81" spans="1:15" ht="15" customHeight="1">
      <c r="A81" s="243"/>
      <c r="B81" s="244"/>
      <c r="C81" s="246"/>
      <c r="D81" s="246"/>
      <c r="E81" s="246"/>
      <c r="F81" s="246"/>
      <c r="G81" s="246"/>
      <c r="H81" s="138"/>
      <c r="I81" s="243"/>
      <c r="J81" s="244"/>
      <c r="K81" s="246"/>
      <c r="L81" s="246"/>
      <c r="M81" s="246"/>
      <c r="N81" s="246"/>
      <c r="O81" s="246"/>
    </row>
    <row r="82" spans="1:15" ht="15" customHeight="1">
      <c r="A82" s="243"/>
      <c r="B82" s="244"/>
      <c r="C82" s="246"/>
      <c r="D82" s="246"/>
      <c r="E82" s="246"/>
      <c r="F82" s="246"/>
      <c r="G82" s="246"/>
      <c r="H82" s="138"/>
      <c r="I82" s="243"/>
      <c r="J82" s="244"/>
      <c r="K82" s="246"/>
      <c r="L82" s="246"/>
      <c r="M82" s="246"/>
      <c r="N82" s="246"/>
      <c r="O82" s="246"/>
    </row>
    <row r="83" spans="1:15" ht="15" customHeight="1">
      <c r="A83" s="243"/>
      <c r="B83" s="244"/>
      <c r="C83" s="246"/>
      <c r="D83" s="246"/>
      <c r="E83" s="246"/>
      <c r="F83" s="246"/>
      <c r="G83" s="246"/>
      <c r="H83" s="138"/>
      <c r="I83" s="243"/>
      <c r="J83" s="244"/>
      <c r="K83" s="246"/>
      <c r="L83" s="246"/>
      <c r="M83" s="246"/>
      <c r="N83" s="246"/>
      <c r="O83" s="246"/>
    </row>
    <row r="84" spans="1:15" ht="15" customHeight="1">
      <c r="A84" s="243"/>
      <c r="B84" s="244"/>
      <c r="C84" s="246"/>
      <c r="D84" s="246"/>
      <c r="E84" s="246"/>
      <c r="F84" s="246"/>
      <c r="G84" s="246"/>
      <c r="H84" s="138"/>
      <c r="I84" s="243"/>
      <c r="J84" s="244"/>
      <c r="K84" s="246"/>
      <c r="L84" s="246"/>
      <c r="M84" s="246"/>
      <c r="N84" s="246"/>
      <c r="O84" s="246"/>
    </row>
    <row r="85" spans="1:15" ht="15" customHeight="1">
      <c r="A85" s="243"/>
      <c r="B85" s="244"/>
      <c r="C85" s="246"/>
      <c r="D85" s="246"/>
      <c r="E85" s="246"/>
      <c r="F85" s="246"/>
      <c r="G85" s="246"/>
      <c r="H85" s="138"/>
      <c r="I85" s="243"/>
      <c r="J85" s="244"/>
      <c r="K85" s="246"/>
      <c r="L85" s="246"/>
      <c r="M85" s="246"/>
      <c r="N85" s="246"/>
      <c r="O85" s="246"/>
    </row>
    <row r="86" spans="1:15" ht="15" customHeight="1">
      <c r="A86" s="243"/>
      <c r="B86" s="244"/>
      <c r="C86" s="246"/>
      <c r="D86" s="246"/>
      <c r="E86" s="246"/>
      <c r="F86" s="246"/>
      <c r="G86" s="246"/>
      <c r="H86" s="138"/>
      <c r="I86" s="243"/>
      <c r="J86" s="244"/>
      <c r="K86" s="246"/>
      <c r="L86" s="246"/>
      <c r="M86" s="246"/>
      <c r="N86" s="246"/>
      <c r="O86" s="246"/>
    </row>
    <row r="87" spans="1:15" ht="15" customHeight="1">
      <c r="A87" s="243"/>
      <c r="B87" s="244"/>
      <c r="C87" s="246"/>
      <c r="D87" s="246"/>
      <c r="E87" s="246"/>
      <c r="F87" s="246"/>
      <c r="G87" s="246"/>
      <c r="H87" s="138"/>
      <c r="I87" s="243"/>
      <c r="J87" s="244"/>
      <c r="K87" s="246"/>
      <c r="L87" s="246"/>
      <c r="M87" s="246"/>
      <c r="N87" s="246"/>
      <c r="O87" s="246"/>
    </row>
    <row r="88" spans="1:15" ht="15" customHeight="1">
      <c r="A88" s="243"/>
      <c r="B88" s="244"/>
      <c r="C88" s="246"/>
      <c r="D88" s="246"/>
      <c r="E88" s="246"/>
      <c r="F88" s="246"/>
      <c r="G88" s="246"/>
      <c r="H88" s="138"/>
      <c r="I88" s="243"/>
      <c r="J88" s="244"/>
      <c r="K88" s="246"/>
      <c r="L88" s="246"/>
      <c r="M88" s="246"/>
      <c r="N88" s="246"/>
      <c r="O88" s="246"/>
    </row>
    <row r="89" spans="1:15" ht="15" customHeight="1">
      <c r="A89" s="243"/>
      <c r="B89" s="244"/>
      <c r="C89" s="246"/>
      <c r="D89" s="246"/>
      <c r="E89" s="246"/>
      <c r="F89" s="246"/>
      <c r="G89" s="246"/>
      <c r="H89" s="138"/>
      <c r="I89" s="243"/>
      <c r="J89" s="244"/>
      <c r="K89" s="246"/>
      <c r="L89" s="246"/>
      <c r="M89" s="246"/>
      <c r="N89" s="246"/>
      <c r="O89" s="246"/>
    </row>
    <row r="90" spans="1:15" ht="15" customHeight="1">
      <c r="A90" s="243"/>
      <c r="B90" s="244"/>
      <c r="C90" s="246"/>
      <c r="D90" s="246"/>
      <c r="E90" s="246"/>
      <c r="F90" s="246"/>
      <c r="G90" s="246"/>
      <c r="H90" s="138"/>
      <c r="I90" s="243"/>
      <c r="J90" s="244"/>
      <c r="K90" s="246"/>
      <c r="L90" s="246"/>
      <c r="M90" s="246"/>
      <c r="N90" s="246"/>
      <c r="O90" s="246"/>
    </row>
    <row r="91" spans="1:15" ht="15" customHeight="1">
      <c r="A91" s="243"/>
      <c r="B91" s="244"/>
      <c r="C91" s="246"/>
      <c r="D91" s="246"/>
      <c r="E91" s="246"/>
      <c r="F91" s="246"/>
      <c r="G91" s="246"/>
      <c r="H91" s="138"/>
      <c r="I91" s="243"/>
      <c r="J91" s="244"/>
      <c r="K91" s="246"/>
      <c r="L91" s="246"/>
      <c r="M91" s="246"/>
      <c r="N91" s="246"/>
      <c r="O91" s="246"/>
    </row>
    <row r="92" spans="1:15" ht="15" customHeight="1">
      <c r="A92" s="243"/>
      <c r="B92" s="244"/>
      <c r="C92" s="246"/>
      <c r="D92" s="246"/>
      <c r="E92" s="246"/>
      <c r="F92" s="246"/>
      <c r="G92" s="246"/>
      <c r="H92" s="138"/>
      <c r="I92" s="243"/>
      <c r="J92" s="244"/>
      <c r="K92" s="246"/>
      <c r="L92" s="246"/>
      <c r="M92" s="246"/>
      <c r="N92" s="246"/>
      <c r="O92" s="246"/>
    </row>
    <row r="93" spans="1:15" ht="15" customHeight="1">
      <c r="A93" s="140"/>
      <c r="B93" s="153"/>
      <c r="C93" s="142">
        <f>SUM(C69:C92)</f>
        <v>0</v>
      </c>
      <c r="D93" s="142">
        <f>SUM(D69:D92)</f>
        <v>0</v>
      </c>
      <c r="E93" s="142">
        <f>SUM(E69:E92)</f>
        <v>0</v>
      </c>
      <c r="F93" s="142">
        <f>SUM(F69:F92)</f>
        <v>0</v>
      </c>
      <c r="G93" s="140"/>
      <c r="H93" s="138"/>
      <c r="I93" s="140"/>
      <c r="J93" s="140"/>
      <c r="K93" s="142">
        <f>SUM(K69:K92)</f>
        <v>0</v>
      </c>
      <c r="L93" s="142">
        <f>SUM(L69:L92)</f>
        <v>0</v>
      </c>
      <c r="M93" s="142">
        <f>SUM(M69:M92)</f>
        <v>0</v>
      </c>
      <c r="N93" s="142">
        <f>SUM(N69:N92)</f>
        <v>0</v>
      </c>
      <c r="O93" s="140"/>
    </row>
    <row r="94" spans="1:15" ht="15" customHeight="1">
      <c r="A94" s="145"/>
      <c r="B94" s="146"/>
      <c r="C94" s="145"/>
      <c r="D94" s="145"/>
      <c r="E94" s="145"/>
      <c r="F94" s="145"/>
      <c r="G94" s="145"/>
      <c r="H94" s="147"/>
      <c r="I94" s="145"/>
      <c r="J94" s="145"/>
      <c r="K94" s="145"/>
      <c r="L94" s="145"/>
      <c r="M94" s="145"/>
      <c r="N94" s="145"/>
      <c r="O94" s="145"/>
    </row>
    <row r="95" spans="1:15" ht="15.75" customHeight="1">
      <c r="A95" s="148"/>
      <c r="B95" s="149"/>
      <c r="C95" s="148"/>
      <c r="D95" s="148"/>
      <c r="E95" s="148"/>
      <c r="F95" s="148"/>
      <c r="G95" s="148"/>
      <c r="H95" s="147"/>
      <c r="I95" s="148"/>
      <c r="J95" s="148"/>
      <c r="K95" s="148"/>
      <c r="L95" s="148"/>
      <c r="M95" s="148"/>
      <c r="N95" s="148"/>
      <c r="O95" s="148"/>
    </row>
    <row r="96" spans="1:15" ht="15.5" customHeight="1">
      <c r="A96" s="414" t="s">
        <v>106</v>
      </c>
      <c r="B96" s="415"/>
      <c r="C96" s="415"/>
      <c r="D96" s="415"/>
      <c r="E96" s="415"/>
      <c r="F96" s="415"/>
      <c r="G96" s="416"/>
      <c r="H96" s="127"/>
      <c r="I96" s="414" t="s">
        <v>107</v>
      </c>
      <c r="J96" s="415"/>
      <c r="K96" s="415"/>
      <c r="L96" s="415"/>
      <c r="M96" s="415"/>
      <c r="N96" s="415"/>
      <c r="O96" s="416"/>
    </row>
    <row r="97" spans="1:15" ht="15.75" customHeight="1" thickBot="1">
      <c r="A97" s="422" t="s">
        <v>90</v>
      </c>
      <c r="B97" s="412"/>
      <c r="C97" s="412"/>
      <c r="D97" s="412"/>
      <c r="E97" s="412"/>
      <c r="F97" s="412"/>
      <c r="G97" s="423"/>
      <c r="H97" s="127"/>
      <c r="I97" s="422" t="s">
        <v>90</v>
      </c>
      <c r="J97" s="412"/>
      <c r="K97" s="412"/>
      <c r="L97" s="412"/>
      <c r="M97" s="412"/>
      <c r="N97" s="412"/>
      <c r="O97" s="423"/>
    </row>
    <row r="98" spans="1:15" ht="15.75" customHeight="1" thickBot="1">
      <c r="A98" s="150" t="s">
        <v>91</v>
      </c>
      <c r="B98" s="348" t="s">
        <v>1372</v>
      </c>
      <c r="C98" s="151"/>
      <c r="D98" s="151"/>
      <c r="E98" s="151"/>
      <c r="F98" s="151"/>
      <c r="G98" s="151"/>
      <c r="H98" s="127"/>
      <c r="I98" s="150" t="s">
        <v>91</v>
      </c>
      <c r="J98" s="349">
        <v>46270</v>
      </c>
      <c r="K98" s="151"/>
      <c r="L98" s="151"/>
      <c r="M98" s="151"/>
      <c r="N98" s="151"/>
      <c r="O98" s="151"/>
    </row>
    <row r="99" spans="1:15" ht="15.75" customHeight="1" thickBot="1">
      <c r="A99" s="132" t="s">
        <v>141</v>
      </c>
      <c r="B99" s="133" t="s">
        <v>1373</v>
      </c>
      <c r="C99" s="134"/>
      <c r="D99" s="134"/>
      <c r="E99" s="134"/>
      <c r="F99" s="134"/>
      <c r="G99" s="134"/>
      <c r="H99" s="127"/>
      <c r="I99" s="132" t="s">
        <v>141</v>
      </c>
      <c r="J99" s="133" t="s">
        <v>1371</v>
      </c>
      <c r="K99" s="134"/>
      <c r="L99" s="134"/>
      <c r="M99" s="134"/>
      <c r="N99" s="134"/>
      <c r="O99" s="134"/>
    </row>
    <row r="100" spans="1:15" ht="15.75" customHeight="1" thickBot="1">
      <c r="A100" s="93" t="s">
        <v>130</v>
      </c>
      <c r="B100" s="135" t="s">
        <v>137</v>
      </c>
      <c r="C100" s="152" t="s">
        <v>94</v>
      </c>
      <c r="D100" s="152" t="s">
        <v>30</v>
      </c>
      <c r="E100" s="152" t="s">
        <v>4</v>
      </c>
      <c r="F100" s="152" t="s">
        <v>102</v>
      </c>
      <c r="G100" s="152" t="s">
        <v>8</v>
      </c>
      <c r="H100" s="127"/>
      <c r="I100" s="93" t="s">
        <v>130</v>
      </c>
      <c r="J100" s="135" t="s">
        <v>137</v>
      </c>
      <c r="K100" s="152" t="s">
        <v>94</v>
      </c>
      <c r="L100" s="152" t="s">
        <v>30</v>
      </c>
      <c r="M100" s="152" t="s">
        <v>4</v>
      </c>
      <c r="N100" s="152" t="s">
        <v>102</v>
      </c>
      <c r="O100" s="152" t="s">
        <v>8</v>
      </c>
    </row>
    <row r="101" spans="1:15" ht="15.5" customHeight="1">
      <c r="A101" s="243"/>
      <c r="B101" s="244"/>
      <c r="C101" s="254"/>
      <c r="D101" s="254"/>
      <c r="E101" s="254"/>
      <c r="F101" s="254"/>
      <c r="G101" s="254"/>
      <c r="H101" s="138"/>
      <c r="I101" s="59"/>
      <c r="J101" s="244"/>
      <c r="K101" s="59"/>
      <c r="L101" s="59"/>
      <c r="M101" s="218"/>
      <c r="N101" s="59"/>
      <c r="O101" s="254"/>
    </row>
    <row r="102" spans="1:15" ht="15" customHeight="1">
      <c r="A102" s="243"/>
      <c r="B102" s="244"/>
      <c r="C102" s="246"/>
      <c r="D102" s="246"/>
      <c r="E102" s="246"/>
      <c r="F102" s="246"/>
      <c r="G102" s="246"/>
      <c r="H102" s="138"/>
      <c r="I102" s="59"/>
      <c r="J102" s="244"/>
      <c r="K102" s="59"/>
      <c r="L102" s="59"/>
      <c r="M102" s="59"/>
      <c r="N102" s="59"/>
      <c r="O102" s="246"/>
    </row>
    <row r="103" spans="1:15" ht="15" customHeight="1">
      <c r="A103" s="243"/>
      <c r="B103" s="244"/>
      <c r="C103" s="246"/>
      <c r="D103" s="246"/>
      <c r="E103" s="246"/>
      <c r="F103" s="246"/>
      <c r="G103" s="246"/>
      <c r="H103" s="138"/>
      <c r="I103" s="59"/>
      <c r="J103" s="244"/>
      <c r="K103" s="59"/>
      <c r="L103" s="59"/>
      <c r="M103" s="59"/>
      <c r="N103" s="59"/>
      <c r="O103" s="246"/>
    </row>
    <row r="104" spans="1:15" ht="15" customHeight="1">
      <c r="A104" s="243"/>
      <c r="B104" s="244"/>
      <c r="C104" s="246"/>
      <c r="D104" s="246"/>
      <c r="E104" s="246"/>
      <c r="F104" s="246"/>
      <c r="G104" s="246"/>
      <c r="H104" s="138"/>
      <c r="I104" s="59"/>
      <c r="J104" s="244"/>
      <c r="K104" s="59"/>
      <c r="L104" s="59"/>
      <c r="M104" s="59"/>
      <c r="N104" s="59"/>
      <c r="O104" s="246"/>
    </row>
    <row r="105" spans="1:15" ht="15" customHeight="1">
      <c r="A105" s="243"/>
      <c r="B105" s="244"/>
      <c r="C105" s="246"/>
      <c r="D105" s="246"/>
      <c r="E105" s="246"/>
      <c r="F105" s="246"/>
      <c r="G105" s="246"/>
      <c r="H105" s="138"/>
      <c r="I105" s="243"/>
      <c r="J105" s="244"/>
      <c r="K105" s="246"/>
      <c r="L105" s="246"/>
      <c r="M105" s="246"/>
      <c r="N105" s="246"/>
      <c r="O105" s="246"/>
    </row>
    <row r="106" spans="1:15" ht="15" customHeight="1">
      <c r="A106" s="243"/>
      <c r="B106" s="244"/>
      <c r="C106" s="246"/>
      <c r="D106" s="246"/>
      <c r="E106" s="246"/>
      <c r="F106" s="246"/>
      <c r="G106" s="246"/>
      <c r="H106" s="138"/>
      <c r="I106" s="243"/>
      <c r="J106" s="244"/>
      <c r="K106" s="246"/>
      <c r="L106" s="246"/>
      <c r="M106" s="246"/>
      <c r="N106" s="246"/>
      <c r="O106" s="246"/>
    </row>
    <row r="107" spans="1:15" ht="15" customHeight="1">
      <c r="A107" s="243"/>
      <c r="B107" s="244"/>
      <c r="C107" s="246"/>
      <c r="D107" s="246"/>
      <c r="E107" s="246"/>
      <c r="F107" s="246"/>
      <c r="G107" s="246"/>
      <c r="H107" s="138"/>
      <c r="I107" s="243"/>
      <c r="J107" s="244"/>
      <c r="K107" s="246"/>
      <c r="L107" s="246"/>
      <c r="M107" s="246"/>
      <c r="N107" s="246"/>
      <c r="O107" s="246"/>
    </row>
    <row r="108" spans="1:15" ht="15" customHeight="1">
      <c r="A108" s="243"/>
      <c r="B108" s="244"/>
      <c r="C108" s="246"/>
      <c r="D108" s="246"/>
      <c r="E108" s="246"/>
      <c r="F108" s="246"/>
      <c r="G108" s="246"/>
      <c r="H108" s="138"/>
      <c r="I108" s="243"/>
      <c r="J108" s="244"/>
      <c r="K108" s="246"/>
      <c r="L108" s="246"/>
      <c r="M108" s="246"/>
      <c r="N108" s="246"/>
      <c r="O108" s="246"/>
    </row>
    <row r="109" spans="1:15" ht="15" customHeight="1">
      <c r="A109" s="243"/>
      <c r="B109" s="244"/>
      <c r="C109" s="246"/>
      <c r="D109" s="246"/>
      <c r="E109" s="246"/>
      <c r="F109" s="246"/>
      <c r="G109" s="246"/>
      <c r="H109" s="138"/>
      <c r="I109" s="243"/>
      <c r="J109" s="244"/>
      <c r="K109" s="246"/>
      <c r="L109" s="246"/>
      <c r="M109" s="246"/>
      <c r="N109" s="246"/>
      <c r="O109" s="246"/>
    </row>
    <row r="110" spans="1:15" ht="15" customHeight="1">
      <c r="A110" s="243"/>
      <c r="B110" s="244"/>
      <c r="C110" s="246"/>
      <c r="D110" s="246"/>
      <c r="E110" s="246"/>
      <c r="F110" s="246"/>
      <c r="G110" s="246"/>
      <c r="H110" s="138"/>
      <c r="I110" s="243"/>
      <c r="J110" s="244"/>
      <c r="K110" s="246"/>
      <c r="L110" s="246"/>
      <c r="M110" s="246"/>
      <c r="N110" s="246"/>
      <c r="O110" s="246"/>
    </row>
    <row r="111" spans="1:15" ht="15" customHeight="1">
      <c r="A111" s="243"/>
      <c r="B111" s="244"/>
      <c r="C111" s="246"/>
      <c r="D111" s="246"/>
      <c r="E111" s="246"/>
      <c r="F111" s="246"/>
      <c r="G111" s="246"/>
      <c r="H111" s="138"/>
      <c r="I111" s="243"/>
      <c r="J111" s="244"/>
      <c r="K111" s="246"/>
      <c r="L111" s="246"/>
      <c r="M111" s="246"/>
      <c r="N111" s="246"/>
      <c r="O111" s="246"/>
    </row>
    <row r="112" spans="1:15" ht="15" customHeight="1">
      <c r="A112" s="243"/>
      <c r="B112" s="244"/>
      <c r="C112" s="246"/>
      <c r="D112" s="246"/>
      <c r="E112" s="246"/>
      <c r="F112" s="246"/>
      <c r="G112" s="246"/>
      <c r="H112" s="138"/>
      <c r="I112" s="243"/>
      <c r="J112" s="244"/>
      <c r="K112" s="246"/>
      <c r="L112" s="246"/>
      <c r="M112" s="246"/>
      <c r="N112" s="246"/>
      <c r="O112" s="246"/>
    </row>
    <row r="113" spans="1:15" ht="15" customHeight="1">
      <c r="A113" s="243"/>
      <c r="B113" s="244"/>
      <c r="C113" s="246"/>
      <c r="D113" s="246"/>
      <c r="E113" s="246"/>
      <c r="F113" s="246"/>
      <c r="G113" s="246"/>
      <c r="H113" s="138"/>
      <c r="I113" s="243"/>
      <c r="J113" s="244"/>
      <c r="K113" s="246"/>
      <c r="L113" s="246"/>
      <c r="M113" s="246"/>
      <c r="N113" s="246"/>
      <c r="O113" s="246"/>
    </row>
    <row r="114" spans="1:15" ht="15" customHeight="1">
      <c r="A114" s="243"/>
      <c r="B114" s="244"/>
      <c r="C114" s="246"/>
      <c r="D114" s="246"/>
      <c r="E114" s="246"/>
      <c r="F114" s="246"/>
      <c r="G114" s="246"/>
      <c r="H114" s="138"/>
      <c r="I114" s="243"/>
      <c r="J114" s="244"/>
      <c r="K114" s="246"/>
      <c r="L114" s="246"/>
      <c r="M114" s="246"/>
      <c r="N114" s="246"/>
      <c r="O114" s="246"/>
    </row>
    <row r="115" spans="1:15" ht="15" customHeight="1">
      <c r="A115" s="243"/>
      <c r="B115" s="244"/>
      <c r="C115" s="246"/>
      <c r="D115" s="246"/>
      <c r="E115" s="246"/>
      <c r="F115" s="246"/>
      <c r="G115" s="246"/>
      <c r="H115" s="138"/>
      <c r="I115" s="243"/>
      <c r="J115" s="244"/>
      <c r="K115" s="246"/>
      <c r="L115" s="246"/>
      <c r="M115" s="246"/>
      <c r="N115" s="246"/>
      <c r="O115" s="246"/>
    </row>
    <row r="116" spans="1:15" ht="15" customHeight="1">
      <c r="A116" s="243"/>
      <c r="B116" s="244"/>
      <c r="C116" s="246"/>
      <c r="D116" s="246"/>
      <c r="E116" s="246"/>
      <c r="F116" s="246"/>
      <c r="G116" s="246"/>
      <c r="H116" s="138"/>
      <c r="I116" s="243"/>
      <c r="J116" s="244"/>
      <c r="K116" s="246"/>
      <c r="L116" s="246"/>
      <c r="M116" s="246"/>
      <c r="N116" s="246"/>
      <c r="O116" s="246"/>
    </row>
    <row r="117" spans="1:15" ht="15" customHeight="1">
      <c r="A117" s="243"/>
      <c r="B117" s="244"/>
      <c r="C117" s="246"/>
      <c r="D117" s="246"/>
      <c r="E117" s="246"/>
      <c r="F117" s="246"/>
      <c r="G117" s="246"/>
      <c r="H117" s="138"/>
      <c r="I117" s="243"/>
      <c r="J117" s="244"/>
      <c r="K117" s="246"/>
      <c r="L117" s="246"/>
      <c r="M117" s="246"/>
      <c r="N117" s="246"/>
      <c r="O117" s="246"/>
    </row>
    <row r="118" spans="1:15" ht="15" customHeight="1">
      <c r="A118" s="243"/>
      <c r="B118" s="244"/>
      <c r="C118" s="246"/>
      <c r="D118" s="246"/>
      <c r="E118" s="246"/>
      <c r="F118" s="246"/>
      <c r="G118" s="246"/>
      <c r="H118" s="138"/>
      <c r="I118" s="243"/>
      <c r="J118" s="244"/>
      <c r="K118" s="246"/>
      <c r="L118" s="246"/>
      <c r="M118" s="246"/>
      <c r="N118" s="246"/>
      <c r="O118" s="246"/>
    </row>
    <row r="119" spans="1:15" ht="15" customHeight="1">
      <c r="A119" s="243"/>
      <c r="B119" s="244"/>
      <c r="C119" s="246"/>
      <c r="D119" s="246"/>
      <c r="E119" s="246"/>
      <c r="F119" s="246"/>
      <c r="G119" s="246"/>
      <c r="H119" s="138"/>
      <c r="I119" s="243"/>
      <c r="J119" s="244"/>
      <c r="K119" s="246"/>
      <c r="L119" s="246"/>
      <c r="M119" s="246"/>
      <c r="N119" s="246"/>
      <c r="O119" s="246"/>
    </row>
    <row r="120" spans="1:15" ht="15" customHeight="1">
      <c r="A120" s="243"/>
      <c r="B120" s="244"/>
      <c r="C120" s="246"/>
      <c r="D120" s="246"/>
      <c r="E120" s="246"/>
      <c r="F120" s="246"/>
      <c r="G120" s="246"/>
      <c r="H120" s="138"/>
      <c r="I120" s="243"/>
      <c r="J120" s="244"/>
      <c r="K120" s="246"/>
      <c r="L120" s="246"/>
      <c r="M120" s="246"/>
      <c r="N120" s="246"/>
      <c r="O120" s="246"/>
    </row>
    <row r="121" spans="1:15" ht="15" customHeight="1">
      <c r="A121" s="243"/>
      <c r="B121" s="244"/>
      <c r="C121" s="246"/>
      <c r="D121" s="246"/>
      <c r="E121" s="246"/>
      <c r="F121" s="246"/>
      <c r="G121" s="246"/>
      <c r="H121" s="138"/>
      <c r="I121" s="243"/>
      <c r="J121" s="244"/>
      <c r="K121" s="246"/>
      <c r="L121" s="246"/>
      <c r="M121" s="246"/>
      <c r="N121" s="246"/>
      <c r="O121" s="246"/>
    </row>
    <row r="122" spans="1:15" ht="15" customHeight="1">
      <c r="A122" s="243"/>
      <c r="B122" s="244"/>
      <c r="C122" s="246"/>
      <c r="D122" s="246"/>
      <c r="E122" s="246"/>
      <c r="F122" s="246"/>
      <c r="G122" s="246"/>
      <c r="H122" s="138"/>
      <c r="I122" s="243"/>
      <c r="J122" s="244"/>
      <c r="K122" s="246"/>
      <c r="L122" s="246"/>
      <c r="M122" s="246"/>
      <c r="N122" s="246"/>
      <c r="O122" s="246"/>
    </row>
    <row r="123" spans="1:15" ht="15" customHeight="1">
      <c r="A123" s="243"/>
      <c r="B123" s="244"/>
      <c r="C123" s="246"/>
      <c r="D123" s="246"/>
      <c r="E123" s="246"/>
      <c r="F123" s="246"/>
      <c r="G123" s="246"/>
      <c r="H123" s="138"/>
      <c r="I123" s="243"/>
      <c r="J123" s="244"/>
      <c r="K123" s="246"/>
      <c r="L123" s="246"/>
      <c r="M123" s="246"/>
      <c r="N123" s="246"/>
      <c r="O123" s="246"/>
    </row>
    <row r="124" spans="1:15" ht="15" customHeight="1">
      <c r="A124" s="243"/>
      <c r="B124" s="244"/>
      <c r="C124" s="246"/>
      <c r="D124" s="246"/>
      <c r="E124" s="246"/>
      <c r="F124" s="246"/>
      <c r="G124" s="246"/>
      <c r="H124" s="138"/>
      <c r="I124" s="243"/>
      <c r="J124" s="244"/>
      <c r="K124" s="246"/>
      <c r="L124" s="246"/>
      <c r="M124" s="246"/>
      <c r="N124" s="246"/>
      <c r="O124" s="246"/>
    </row>
    <row r="125" spans="1:15" ht="15" customHeight="1">
      <c r="A125" s="243"/>
      <c r="B125" s="244"/>
      <c r="C125" s="246"/>
      <c r="D125" s="246"/>
      <c r="E125" s="246"/>
      <c r="F125" s="246"/>
      <c r="G125" s="246"/>
      <c r="H125" s="138"/>
      <c r="I125" s="243"/>
      <c r="J125" s="244"/>
      <c r="K125" s="246"/>
      <c r="L125" s="246"/>
      <c r="M125" s="246"/>
      <c r="N125" s="246"/>
      <c r="O125" s="246"/>
    </row>
    <row r="126" spans="1:15" ht="15" customHeight="1">
      <c r="A126" s="140"/>
      <c r="B126" s="153"/>
      <c r="C126" s="142">
        <f>SUM(C101:C125)</f>
        <v>0</v>
      </c>
      <c r="D126" s="142">
        <f>SUM(D101:D125)</f>
        <v>0</v>
      </c>
      <c r="E126" s="142">
        <f>SUM(E101:E125)</f>
        <v>0</v>
      </c>
      <c r="F126" s="142">
        <f>SUM(F101:F125)</f>
        <v>0</v>
      </c>
      <c r="G126" s="140"/>
      <c r="H126" s="138"/>
      <c r="I126" s="140"/>
      <c r="J126" s="140"/>
      <c r="K126" s="142">
        <f>SUM(K101:K125)</f>
        <v>0</v>
      </c>
      <c r="L126" s="142">
        <f>SUM(L101:L125)</f>
        <v>0</v>
      </c>
      <c r="M126" s="142">
        <f>SUM(M101:M125)</f>
        <v>0</v>
      </c>
      <c r="N126" s="142">
        <f>SUM(N101:N125)</f>
        <v>0</v>
      </c>
      <c r="O126" s="140"/>
    </row>
    <row r="128" spans="1:15" ht="15" customHeight="1" thickBot="1"/>
    <row r="129" spans="1:15" ht="15" customHeight="1">
      <c r="A129" s="414" t="s">
        <v>1321</v>
      </c>
      <c r="B129" s="415"/>
      <c r="C129" s="415"/>
      <c r="D129" s="415"/>
      <c r="E129" s="415"/>
      <c r="F129" s="415"/>
      <c r="G129" s="416"/>
      <c r="H129" s="127"/>
      <c r="I129" s="414" t="s">
        <v>1322</v>
      </c>
      <c r="J129" s="415"/>
      <c r="K129" s="415"/>
      <c r="L129" s="415"/>
      <c r="M129" s="415"/>
      <c r="N129" s="415"/>
      <c r="O129" s="416"/>
    </row>
    <row r="130" spans="1:15" ht="15" customHeight="1" thickBot="1">
      <c r="A130" s="422" t="s">
        <v>90</v>
      </c>
      <c r="B130" s="412"/>
      <c r="C130" s="412"/>
      <c r="D130" s="412"/>
      <c r="E130" s="412"/>
      <c r="F130" s="412"/>
      <c r="G130" s="423"/>
      <c r="H130" s="127"/>
      <c r="I130" s="422" t="s">
        <v>90</v>
      </c>
      <c r="J130" s="412"/>
      <c r="K130" s="412"/>
      <c r="L130" s="412"/>
      <c r="M130" s="412"/>
      <c r="N130" s="412"/>
      <c r="O130" s="423"/>
    </row>
    <row r="131" spans="1:15" ht="15" customHeight="1" thickBot="1">
      <c r="A131" s="150" t="s">
        <v>91</v>
      </c>
      <c r="B131" s="348" t="s">
        <v>1374</v>
      </c>
      <c r="C131" s="151"/>
      <c r="D131" s="151"/>
      <c r="E131" s="151"/>
      <c r="F131" s="151"/>
      <c r="G131" s="151"/>
      <c r="H131" s="127"/>
      <c r="I131" s="150" t="s">
        <v>91</v>
      </c>
      <c r="J131" s="348" t="s">
        <v>1375</v>
      </c>
      <c r="K131" s="151"/>
      <c r="L131" s="151"/>
      <c r="M131" s="151"/>
      <c r="N131" s="151"/>
      <c r="O131" s="151"/>
    </row>
    <row r="132" spans="1:15" ht="15" customHeight="1" thickBot="1">
      <c r="A132" s="132" t="s">
        <v>141</v>
      </c>
      <c r="B132" s="133" t="s">
        <v>1373</v>
      </c>
      <c r="C132" s="134"/>
      <c r="D132" s="134"/>
      <c r="E132" s="134"/>
      <c r="F132" s="134"/>
      <c r="G132" s="134"/>
      <c r="H132" s="127"/>
      <c r="I132" s="132" t="s">
        <v>141</v>
      </c>
      <c r="J132" s="133" t="s">
        <v>1373</v>
      </c>
      <c r="K132" s="134"/>
      <c r="L132" s="134"/>
      <c r="M132" s="134"/>
      <c r="N132" s="134"/>
      <c r="O132" s="134"/>
    </row>
    <row r="133" spans="1:15" ht="15" customHeight="1" thickBot="1">
      <c r="A133" s="93" t="s">
        <v>130</v>
      </c>
      <c r="B133" s="135" t="s">
        <v>137</v>
      </c>
      <c r="C133" s="152" t="s">
        <v>94</v>
      </c>
      <c r="D133" s="152" t="s">
        <v>30</v>
      </c>
      <c r="E133" s="152" t="s">
        <v>4</v>
      </c>
      <c r="F133" s="152" t="s">
        <v>102</v>
      </c>
      <c r="G133" s="152" t="s">
        <v>8</v>
      </c>
      <c r="H133" s="127"/>
      <c r="I133" s="93" t="s">
        <v>130</v>
      </c>
      <c r="J133" s="135" t="s">
        <v>137</v>
      </c>
      <c r="K133" s="152" t="s">
        <v>94</v>
      </c>
      <c r="L133" s="152" t="s">
        <v>30</v>
      </c>
      <c r="M133" s="152" t="s">
        <v>4</v>
      </c>
      <c r="N133" s="152" t="s">
        <v>102</v>
      </c>
      <c r="O133" s="152" t="s">
        <v>8</v>
      </c>
    </row>
    <row r="134" spans="1:15" ht="15" customHeight="1">
      <c r="A134" s="243"/>
      <c r="B134" s="244"/>
      <c r="C134" s="254"/>
      <c r="D134" s="254"/>
      <c r="E134" s="254"/>
      <c r="F134" s="254"/>
      <c r="G134" s="254"/>
      <c r="H134" s="138"/>
      <c r="I134" s="243"/>
      <c r="J134" s="244"/>
      <c r="K134" s="254"/>
      <c r="L134" s="254"/>
      <c r="M134" s="254"/>
      <c r="N134" s="254"/>
      <c r="O134" s="254"/>
    </row>
    <row r="135" spans="1:15" ht="15" customHeight="1">
      <c r="A135" s="243"/>
      <c r="B135" s="244"/>
      <c r="C135" s="246"/>
      <c r="D135" s="246"/>
      <c r="E135" s="246"/>
      <c r="F135" s="246"/>
      <c r="G135" s="246"/>
      <c r="H135" s="138"/>
      <c r="I135" s="243"/>
      <c r="J135" s="244"/>
      <c r="K135" s="246"/>
      <c r="L135" s="246"/>
      <c r="M135" s="246"/>
      <c r="N135" s="246"/>
      <c r="O135" s="246"/>
    </row>
    <row r="136" spans="1:15" ht="15" customHeight="1">
      <c r="A136" s="243"/>
      <c r="B136" s="244"/>
      <c r="C136" s="246"/>
      <c r="D136" s="246"/>
      <c r="E136" s="246"/>
      <c r="F136" s="246"/>
      <c r="G136" s="246"/>
      <c r="H136" s="138"/>
      <c r="I136" s="243"/>
      <c r="J136" s="244"/>
      <c r="K136" s="246"/>
      <c r="L136" s="246"/>
      <c r="M136" s="246"/>
      <c r="N136" s="246"/>
      <c r="O136" s="246"/>
    </row>
    <row r="137" spans="1:15" ht="15" customHeight="1">
      <c r="A137" s="243"/>
      <c r="B137" s="244"/>
      <c r="C137" s="246"/>
      <c r="D137" s="246"/>
      <c r="E137" s="246"/>
      <c r="F137" s="246"/>
      <c r="G137" s="246"/>
      <c r="H137" s="138"/>
      <c r="I137" s="243"/>
      <c r="J137" s="244"/>
      <c r="K137" s="246"/>
      <c r="L137" s="246"/>
      <c r="M137" s="246"/>
      <c r="N137" s="246"/>
      <c r="O137" s="246"/>
    </row>
    <row r="138" spans="1:15" ht="15" customHeight="1">
      <c r="A138" s="243"/>
      <c r="B138" s="244"/>
      <c r="C138" s="246"/>
      <c r="D138" s="246"/>
      <c r="E138" s="246"/>
      <c r="F138" s="246"/>
      <c r="G138" s="246"/>
      <c r="H138" s="138"/>
      <c r="I138" s="243"/>
      <c r="J138" s="244"/>
      <c r="K138" s="246"/>
      <c r="L138" s="246"/>
      <c r="M138" s="246"/>
      <c r="N138" s="246"/>
      <c r="O138" s="246"/>
    </row>
    <row r="139" spans="1:15" ht="15" customHeight="1">
      <c r="A139" s="243"/>
      <c r="B139" s="244"/>
      <c r="C139" s="246"/>
      <c r="D139" s="246"/>
      <c r="E139" s="246"/>
      <c r="F139" s="246"/>
      <c r="G139" s="246"/>
      <c r="H139" s="138"/>
      <c r="I139" s="243"/>
      <c r="J139" s="244"/>
      <c r="K139" s="246"/>
      <c r="L139" s="246"/>
      <c r="M139" s="246"/>
      <c r="N139" s="246"/>
      <c r="O139" s="246"/>
    </row>
    <row r="140" spans="1:15" ht="15" customHeight="1">
      <c r="A140" s="243"/>
      <c r="B140" s="244"/>
      <c r="C140" s="246"/>
      <c r="D140" s="246"/>
      <c r="E140" s="246"/>
      <c r="F140" s="246"/>
      <c r="G140" s="246"/>
      <c r="H140" s="138"/>
      <c r="I140" s="243"/>
      <c r="J140" s="244"/>
      <c r="K140" s="246"/>
      <c r="L140" s="246"/>
      <c r="M140" s="246"/>
      <c r="N140" s="246"/>
      <c r="O140" s="246"/>
    </row>
    <row r="141" spans="1:15" ht="15" customHeight="1">
      <c r="A141" s="243"/>
      <c r="B141" s="244"/>
      <c r="C141" s="246"/>
      <c r="D141" s="246"/>
      <c r="E141" s="246"/>
      <c r="F141" s="246"/>
      <c r="G141" s="246"/>
      <c r="H141" s="138"/>
      <c r="I141" s="243"/>
      <c r="J141" s="244"/>
      <c r="K141" s="246"/>
      <c r="L141" s="246"/>
      <c r="M141" s="246"/>
      <c r="N141" s="246"/>
      <c r="O141" s="246"/>
    </row>
    <row r="142" spans="1:15" ht="15" customHeight="1">
      <c r="A142" s="243"/>
      <c r="B142" s="244"/>
      <c r="C142" s="246"/>
      <c r="D142" s="246"/>
      <c r="E142" s="246"/>
      <c r="F142" s="246"/>
      <c r="G142" s="246"/>
      <c r="H142" s="138"/>
      <c r="I142" s="243"/>
      <c r="J142" s="244"/>
      <c r="K142" s="246"/>
      <c r="L142" s="246"/>
      <c r="M142" s="246"/>
      <c r="N142" s="246"/>
      <c r="O142" s="246"/>
    </row>
    <row r="143" spans="1:15" ht="15" customHeight="1">
      <c r="A143" s="243"/>
      <c r="B143" s="244"/>
      <c r="C143" s="246"/>
      <c r="D143" s="246"/>
      <c r="E143" s="246"/>
      <c r="F143" s="246"/>
      <c r="G143" s="246"/>
      <c r="H143" s="138"/>
      <c r="I143" s="243"/>
      <c r="J143" s="244"/>
      <c r="K143" s="246"/>
      <c r="L143" s="246"/>
      <c r="M143" s="246"/>
      <c r="N143" s="246"/>
      <c r="O143" s="246"/>
    </row>
    <row r="144" spans="1:15" ht="15" customHeight="1">
      <c r="A144" s="243"/>
      <c r="B144" s="244"/>
      <c r="C144" s="246"/>
      <c r="D144" s="246"/>
      <c r="E144" s="246"/>
      <c r="F144" s="246"/>
      <c r="G144" s="246"/>
      <c r="H144" s="138"/>
      <c r="I144" s="243"/>
      <c r="J144" s="244"/>
      <c r="K144" s="246"/>
      <c r="L144" s="246"/>
      <c r="M144" s="246"/>
      <c r="N144" s="246"/>
      <c r="O144" s="246"/>
    </row>
    <row r="145" spans="1:15" ht="15" customHeight="1">
      <c r="A145" s="243"/>
      <c r="B145" s="244"/>
      <c r="C145" s="246"/>
      <c r="D145" s="246"/>
      <c r="E145" s="246"/>
      <c r="F145" s="246"/>
      <c r="G145" s="246"/>
      <c r="H145" s="138"/>
      <c r="I145" s="243"/>
      <c r="J145" s="244"/>
      <c r="K145" s="246"/>
      <c r="L145" s="246"/>
      <c r="M145" s="246"/>
      <c r="N145" s="246"/>
      <c r="O145" s="246"/>
    </row>
    <row r="146" spans="1:15" ht="15" customHeight="1">
      <c r="A146" s="243"/>
      <c r="B146" s="244"/>
      <c r="C146" s="246"/>
      <c r="D146" s="246"/>
      <c r="E146" s="246"/>
      <c r="F146" s="246"/>
      <c r="G146" s="246"/>
      <c r="H146" s="138"/>
      <c r="I146" s="243"/>
      <c r="J146" s="244"/>
      <c r="K146" s="246"/>
      <c r="L146" s="246"/>
      <c r="M146" s="246"/>
      <c r="N146" s="246"/>
      <c r="O146" s="246"/>
    </row>
    <row r="147" spans="1:15" ht="15" customHeight="1">
      <c r="A147" s="243"/>
      <c r="B147" s="244"/>
      <c r="C147" s="246"/>
      <c r="D147" s="246"/>
      <c r="E147" s="246"/>
      <c r="F147" s="246"/>
      <c r="G147" s="246"/>
      <c r="H147" s="138"/>
      <c r="I147" s="243"/>
      <c r="J147" s="244"/>
      <c r="K147" s="246"/>
      <c r="L147" s="246"/>
      <c r="M147" s="246"/>
      <c r="N147" s="246"/>
      <c r="O147" s="246"/>
    </row>
    <row r="148" spans="1:15" ht="15" customHeight="1">
      <c r="A148" s="243"/>
      <c r="B148" s="244"/>
      <c r="C148" s="246"/>
      <c r="D148" s="246"/>
      <c r="E148" s="246"/>
      <c r="F148" s="246"/>
      <c r="G148" s="246"/>
      <c r="H148" s="138"/>
      <c r="I148" s="243"/>
      <c r="J148" s="244"/>
      <c r="K148" s="246"/>
      <c r="L148" s="246"/>
      <c r="M148" s="246"/>
      <c r="N148" s="246"/>
      <c r="O148" s="246"/>
    </row>
    <row r="149" spans="1:15" ht="15" customHeight="1">
      <c r="A149" s="243"/>
      <c r="B149" s="244"/>
      <c r="C149" s="246"/>
      <c r="D149" s="246"/>
      <c r="E149" s="246"/>
      <c r="F149" s="246"/>
      <c r="G149" s="246"/>
      <c r="H149" s="138"/>
      <c r="I149" s="243"/>
      <c r="J149" s="244"/>
      <c r="K149" s="246"/>
      <c r="L149" s="246"/>
      <c r="M149" s="246"/>
      <c r="N149" s="246"/>
      <c r="O149" s="246"/>
    </row>
    <row r="150" spans="1:15" ht="15" customHeight="1">
      <c r="A150" s="243"/>
      <c r="B150" s="244"/>
      <c r="C150" s="246"/>
      <c r="D150" s="246"/>
      <c r="E150" s="246"/>
      <c r="F150" s="246"/>
      <c r="G150" s="246"/>
      <c r="H150" s="138"/>
      <c r="I150" s="243"/>
      <c r="J150" s="244"/>
      <c r="K150" s="246"/>
      <c r="L150" s="246"/>
      <c r="M150" s="246"/>
      <c r="N150" s="246"/>
      <c r="O150" s="246"/>
    </row>
    <row r="151" spans="1:15" ht="15" customHeight="1">
      <c r="A151" s="243"/>
      <c r="B151" s="244"/>
      <c r="C151" s="246"/>
      <c r="D151" s="246"/>
      <c r="E151" s="246"/>
      <c r="F151" s="246"/>
      <c r="G151" s="246"/>
      <c r="H151" s="138"/>
      <c r="I151" s="243"/>
      <c r="J151" s="244"/>
      <c r="K151" s="246"/>
      <c r="L151" s="246"/>
      <c r="M151" s="246"/>
      <c r="N151" s="246"/>
      <c r="O151" s="246"/>
    </row>
    <row r="152" spans="1:15" ht="15" customHeight="1">
      <c r="A152" s="243"/>
      <c r="B152" s="244"/>
      <c r="C152" s="246"/>
      <c r="D152" s="246"/>
      <c r="E152" s="246"/>
      <c r="F152" s="246"/>
      <c r="G152" s="246"/>
      <c r="H152" s="138"/>
      <c r="I152" s="243"/>
      <c r="J152" s="244"/>
      <c r="K152" s="246"/>
      <c r="L152" s="246"/>
      <c r="M152" s="246"/>
      <c r="N152" s="246"/>
      <c r="O152" s="246"/>
    </row>
    <row r="153" spans="1:15" ht="15" customHeight="1">
      <c r="A153" s="243"/>
      <c r="B153" s="244"/>
      <c r="C153" s="246"/>
      <c r="D153" s="246"/>
      <c r="E153" s="246"/>
      <c r="F153" s="246"/>
      <c r="G153" s="246"/>
      <c r="H153" s="138"/>
      <c r="I153" s="243"/>
      <c r="J153" s="244"/>
      <c r="K153" s="246"/>
      <c r="L153" s="246"/>
      <c r="M153" s="246"/>
      <c r="N153" s="246"/>
      <c r="O153" s="246"/>
    </row>
    <row r="154" spans="1:15" ht="15" customHeight="1">
      <c r="A154" s="243"/>
      <c r="B154" s="244"/>
      <c r="C154" s="246"/>
      <c r="D154" s="246"/>
      <c r="E154" s="246"/>
      <c r="F154" s="246"/>
      <c r="G154" s="246"/>
      <c r="H154" s="138"/>
      <c r="I154" s="243"/>
      <c r="J154" s="244"/>
      <c r="K154" s="246"/>
      <c r="L154" s="246"/>
      <c r="M154" s="246"/>
      <c r="N154" s="246"/>
      <c r="O154" s="246"/>
    </row>
    <row r="155" spans="1:15" ht="15" customHeight="1">
      <c r="A155" s="243"/>
      <c r="B155" s="244"/>
      <c r="C155" s="246"/>
      <c r="D155" s="246"/>
      <c r="E155" s="246"/>
      <c r="F155" s="246"/>
      <c r="G155" s="246"/>
      <c r="H155" s="138"/>
      <c r="I155" s="243"/>
      <c r="J155" s="244"/>
      <c r="K155" s="246"/>
      <c r="L155" s="246"/>
      <c r="M155" s="246"/>
      <c r="N155" s="246"/>
      <c r="O155" s="246"/>
    </row>
    <row r="156" spans="1:15" ht="15" customHeight="1">
      <c r="A156" s="243"/>
      <c r="B156" s="244"/>
      <c r="C156" s="246"/>
      <c r="D156" s="246"/>
      <c r="E156" s="246"/>
      <c r="F156" s="246"/>
      <c r="G156" s="246"/>
      <c r="H156" s="138"/>
      <c r="I156" s="243"/>
      <c r="J156" s="244"/>
      <c r="K156" s="246"/>
      <c r="L156" s="246"/>
      <c r="M156" s="246"/>
      <c r="N156" s="246"/>
      <c r="O156" s="246"/>
    </row>
    <row r="157" spans="1:15" ht="15" customHeight="1">
      <c r="A157" s="243"/>
      <c r="B157" s="244"/>
      <c r="C157" s="246"/>
      <c r="D157" s="246"/>
      <c r="E157" s="246"/>
      <c r="F157" s="246"/>
      <c r="G157" s="246"/>
      <c r="H157" s="138"/>
      <c r="I157" s="243"/>
      <c r="J157" s="244"/>
      <c r="K157" s="246"/>
      <c r="L157" s="246"/>
      <c r="M157" s="246"/>
      <c r="N157" s="246"/>
      <c r="O157" s="246"/>
    </row>
    <row r="158" spans="1:15" ht="15" customHeight="1">
      <c r="A158" s="243"/>
      <c r="B158" s="244"/>
      <c r="C158" s="246"/>
      <c r="D158" s="246"/>
      <c r="E158" s="246"/>
      <c r="F158" s="246"/>
      <c r="G158" s="246"/>
      <c r="H158" s="138"/>
      <c r="I158" s="243"/>
      <c r="J158" s="244"/>
      <c r="K158" s="246"/>
      <c r="L158" s="246"/>
      <c r="M158" s="246"/>
      <c r="N158" s="246"/>
      <c r="O158" s="246"/>
    </row>
    <row r="159" spans="1:15" ht="15" customHeight="1">
      <c r="A159" s="140"/>
      <c r="B159" s="153"/>
      <c r="C159" s="142">
        <f>SUM(C134:C158)</f>
        <v>0</v>
      </c>
      <c r="D159" s="142">
        <f>SUM(D134:D158)</f>
        <v>0</v>
      </c>
      <c r="E159" s="142">
        <f>SUM(E134:E158)</f>
        <v>0</v>
      </c>
      <c r="F159" s="142">
        <f>SUM(F134:F158)</f>
        <v>0</v>
      </c>
      <c r="G159" s="140"/>
      <c r="H159" s="138"/>
      <c r="I159" s="140"/>
      <c r="J159" s="140"/>
      <c r="K159" s="142">
        <f>SUM(K134:K158)</f>
        <v>0</v>
      </c>
      <c r="L159" s="142">
        <f>SUM(L134:L158)</f>
        <v>0</v>
      </c>
      <c r="M159" s="142">
        <f>SUM(M134:M158)</f>
        <v>0</v>
      </c>
      <c r="N159" s="142">
        <f>SUM(N134:N158)</f>
        <v>0</v>
      </c>
      <c r="O159" s="140"/>
    </row>
  </sheetData>
  <mergeCells count="20">
    <mergeCell ref="A31:G31"/>
    <mergeCell ref="A32:G32"/>
    <mergeCell ref="A1:G1"/>
    <mergeCell ref="A2:G2"/>
    <mergeCell ref="I1:O1"/>
    <mergeCell ref="I2:O2"/>
    <mergeCell ref="I31:O31"/>
    <mergeCell ref="A129:G129"/>
    <mergeCell ref="I129:O129"/>
    <mergeCell ref="A130:G130"/>
    <mergeCell ref="I130:O130"/>
    <mergeCell ref="I32:O32"/>
    <mergeCell ref="A64:G64"/>
    <mergeCell ref="A65:G65"/>
    <mergeCell ref="A96:G96"/>
    <mergeCell ref="A97:G97"/>
    <mergeCell ref="I64:O64"/>
    <mergeCell ref="I65:O65"/>
    <mergeCell ref="I96:O96"/>
    <mergeCell ref="I97:O97"/>
  </mergeCells>
  <pageMargins left="0.7" right="0.7" top="0.75" bottom="0.75" header="0.3" footer="0.3"/>
  <pageSetup paperSize="9" scale="78" orientation="portrait" horizontalDpi="4294967294" r:id="rId1"/>
  <headerFooter>
    <oddFooter>&amp;C&amp;"Helvetica Neue,Regular"&amp;12&amp;K000000&amp;P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03BA79-86E0-4203-BC79-1AB60D2FAB34}">
          <x14:formula1>
            <xm:f>'PRODUCT LIST'!$A:$A</xm:f>
          </x14:formula1>
          <xm:sqref>B6:B25 J105:J125 B36:B55 J36:J55 B69:B88 J69:J88 B101:B125 J134:J158 B134:B158 J12:J25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IV74"/>
  <sheetViews>
    <sheetView showGridLines="0" zoomScaleNormal="100" workbookViewId="0">
      <selection activeCell="A59" sqref="A59"/>
    </sheetView>
  </sheetViews>
  <sheetFormatPr baseColWidth="10" defaultColWidth="8.83203125" defaultRowHeight="15" customHeight="1"/>
  <cols>
    <col min="1" max="1" width="8.83203125" style="85" customWidth="1"/>
    <col min="2" max="2" width="36.33203125" style="197" customWidth="1"/>
    <col min="3" max="3" width="7.33203125" style="85" customWidth="1"/>
    <col min="4" max="4" width="10.33203125" style="85" customWidth="1"/>
    <col min="5" max="5" width="4.83203125" style="85" customWidth="1"/>
    <col min="6" max="6" width="9.33203125" style="85" customWidth="1"/>
    <col min="7" max="7" width="9.33203125" style="124" customWidth="1"/>
    <col min="8" max="8" width="5.6640625" style="124" customWidth="1"/>
    <col min="9" max="9" width="8.83203125" style="124" customWidth="1"/>
    <col min="10" max="10" width="37" style="85" customWidth="1"/>
    <col min="11" max="11" width="5.6640625" style="85" customWidth="1"/>
    <col min="12" max="12" width="9.6640625" style="85" customWidth="1"/>
    <col min="13" max="13" width="9" style="85" customWidth="1"/>
    <col min="14" max="14" width="8.6640625" style="85" customWidth="1"/>
    <col min="15" max="256" width="8.83203125" style="85" customWidth="1"/>
    <col min="257" max="16384" width="8.83203125" style="86"/>
  </cols>
  <sheetData>
    <row r="1" spans="1:15" ht="15.5" customHeight="1">
      <c r="A1" s="425" t="s">
        <v>117</v>
      </c>
      <c r="B1" s="426"/>
      <c r="C1" s="426"/>
      <c r="D1" s="426"/>
      <c r="E1" s="426"/>
      <c r="F1" s="426"/>
      <c r="G1" s="427"/>
      <c r="H1" s="61"/>
      <c r="I1" s="431" t="s">
        <v>117</v>
      </c>
      <c r="J1" s="432"/>
      <c r="K1" s="432"/>
      <c r="L1" s="432"/>
      <c r="M1" s="432"/>
      <c r="N1" s="432"/>
      <c r="O1" s="433"/>
    </row>
    <row r="2" spans="1:15" ht="15.75" customHeight="1" thickBot="1">
      <c r="A2" s="428" t="s">
        <v>118</v>
      </c>
      <c r="B2" s="429"/>
      <c r="C2" s="429"/>
      <c r="D2" s="429"/>
      <c r="E2" s="429"/>
      <c r="F2" s="429"/>
      <c r="G2" s="430"/>
      <c r="H2" s="61"/>
      <c r="I2" s="434" t="s">
        <v>119</v>
      </c>
      <c r="J2" s="435"/>
      <c r="K2" s="435"/>
      <c r="L2" s="435"/>
      <c r="M2" s="435"/>
      <c r="N2" s="435"/>
      <c r="O2" s="436"/>
    </row>
    <row r="3" spans="1:15" ht="15.75" customHeight="1" thickBot="1">
      <c r="A3" s="155" t="s">
        <v>91</v>
      </c>
      <c r="B3" s="156"/>
      <c r="C3" s="157"/>
      <c r="D3" s="157"/>
      <c r="E3" s="157"/>
      <c r="F3" s="157"/>
      <c r="G3" s="158"/>
      <c r="H3" s="61"/>
      <c r="I3" s="159" t="s">
        <v>91</v>
      </c>
      <c r="J3" s="160"/>
      <c r="K3" s="161"/>
      <c r="L3" s="161"/>
      <c r="M3" s="161"/>
      <c r="N3" s="161"/>
      <c r="O3" s="161"/>
    </row>
    <row r="4" spans="1:15" ht="15.5" customHeight="1" thickBot="1">
      <c r="A4" s="162" t="s">
        <v>92</v>
      </c>
      <c r="B4" s="163"/>
      <c r="C4" s="164"/>
      <c r="D4" s="164"/>
      <c r="E4" s="164"/>
      <c r="F4" s="164"/>
      <c r="G4" s="165"/>
      <c r="H4" s="61"/>
      <c r="I4" s="166" t="s">
        <v>92</v>
      </c>
      <c r="J4" s="163"/>
      <c r="K4" s="167"/>
      <c r="L4" s="167"/>
      <c r="M4" s="167"/>
      <c r="N4" s="167"/>
      <c r="O4" s="167"/>
    </row>
    <row r="5" spans="1:15" ht="15" customHeight="1" thickBot="1">
      <c r="A5" s="168" t="s">
        <v>134</v>
      </c>
      <c r="B5" s="135" t="s">
        <v>137</v>
      </c>
      <c r="C5" s="168" t="s">
        <v>94</v>
      </c>
      <c r="D5" s="168" t="s">
        <v>30</v>
      </c>
      <c r="E5" s="168" t="s">
        <v>120</v>
      </c>
      <c r="F5" s="168" t="s">
        <v>7</v>
      </c>
      <c r="G5" s="169" t="s">
        <v>121</v>
      </c>
      <c r="H5" s="61"/>
      <c r="I5" s="168" t="s">
        <v>134</v>
      </c>
      <c r="J5" s="135" t="s">
        <v>137</v>
      </c>
      <c r="K5" s="170" t="s">
        <v>94</v>
      </c>
      <c r="L5" s="170" t="s">
        <v>30</v>
      </c>
      <c r="M5" s="170" t="s">
        <v>122</v>
      </c>
      <c r="N5" s="437" t="s">
        <v>123</v>
      </c>
      <c r="O5" s="437"/>
    </row>
    <row r="6" spans="1:15" ht="15" customHeight="1">
      <c r="A6" s="243"/>
      <c r="B6" s="244"/>
      <c r="C6" s="258"/>
      <c r="D6" s="258"/>
      <c r="E6" s="264"/>
      <c r="F6" s="265"/>
      <c r="G6" s="264"/>
      <c r="H6" s="61"/>
      <c r="I6" s="243"/>
      <c r="J6" s="244"/>
      <c r="K6" s="271"/>
      <c r="L6" s="271"/>
      <c r="M6" s="271"/>
      <c r="N6" s="272"/>
      <c r="O6" s="272"/>
    </row>
    <row r="7" spans="1:15" ht="15" customHeight="1">
      <c r="A7" s="243"/>
      <c r="B7" s="244"/>
      <c r="C7" s="60"/>
      <c r="D7" s="60"/>
      <c r="E7" s="266"/>
      <c r="F7" s="266"/>
      <c r="G7" s="266"/>
      <c r="H7" s="61"/>
      <c r="I7" s="243"/>
      <c r="J7" s="244"/>
      <c r="K7" s="267"/>
      <c r="L7" s="267"/>
      <c r="M7" s="267"/>
      <c r="N7" s="273"/>
      <c r="O7" s="273"/>
    </row>
    <row r="8" spans="1:15" ht="15" customHeight="1">
      <c r="A8" s="243"/>
      <c r="B8" s="244"/>
      <c r="C8" s="60"/>
      <c r="D8" s="60"/>
      <c r="E8" s="266"/>
      <c r="F8" s="266"/>
      <c r="G8" s="266"/>
      <c r="H8" s="61"/>
      <c r="I8" s="243"/>
      <c r="J8" s="244"/>
      <c r="K8" s="267"/>
      <c r="L8" s="267"/>
      <c r="M8" s="267"/>
      <c r="N8" s="273"/>
      <c r="O8" s="273"/>
    </row>
    <row r="9" spans="1:15" ht="15" customHeight="1">
      <c r="A9" s="243"/>
      <c r="B9" s="244"/>
      <c r="C9" s="60"/>
      <c r="D9" s="267"/>
      <c r="E9" s="266"/>
      <c r="F9" s="268"/>
      <c r="G9" s="266"/>
      <c r="H9" s="61"/>
      <c r="I9" s="243"/>
      <c r="J9" s="244"/>
      <c r="K9" s="267"/>
      <c r="L9" s="267"/>
      <c r="M9" s="267"/>
      <c r="N9" s="273"/>
      <c r="O9" s="273"/>
    </row>
    <row r="10" spans="1:15" ht="15" customHeight="1">
      <c r="A10" s="243"/>
      <c r="B10" s="244"/>
      <c r="C10" s="60"/>
      <c r="D10" s="267"/>
      <c r="E10" s="266"/>
      <c r="F10" s="266"/>
      <c r="G10" s="266"/>
      <c r="H10" s="61"/>
      <c r="I10" s="243"/>
      <c r="J10" s="244"/>
      <c r="K10" s="267"/>
      <c r="L10" s="267"/>
      <c r="M10" s="267"/>
      <c r="N10" s="273"/>
      <c r="O10" s="273"/>
    </row>
    <row r="11" spans="1:15" ht="15" customHeight="1">
      <c r="A11" s="243"/>
      <c r="B11" s="244"/>
      <c r="C11" s="269"/>
      <c r="D11" s="269"/>
      <c r="E11" s="269"/>
      <c r="F11" s="264"/>
      <c r="G11" s="172"/>
      <c r="H11" s="61"/>
      <c r="I11" s="243"/>
      <c r="J11" s="244"/>
      <c r="K11" s="267"/>
      <c r="L11" s="267"/>
      <c r="M11" s="267"/>
      <c r="N11" s="273"/>
      <c r="O11" s="273"/>
    </row>
    <row r="12" spans="1:15" ht="15" customHeight="1">
      <c r="A12" s="243"/>
      <c r="B12" s="244"/>
      <c r="C12" s="270"/>
      <c r="D12" s="270"/>
      <c r="E12" s="270"/>
      <c r="F12" s="270"/>
      <c r="G12" s="173"/>
      <c r="H12" s="61"/>
      <c r="I12" s="243"/>
      <c r="J12" s="244"/>
      <c r="K12" s="267"/>
      <c r="L12" s="267"/>
      <c r="M12" s="267"/>
      <c r="N12" s="273"/>
      <c r="O12" s="273"/>
    </row>
    <row r="13" spans="1:15" ht="15" customHeight="1">
      <c r="A13" s="243"/>
      <c r="B13" s="244"/>
      <c r="C13" s="270"/>
      <c r="D13" s="270"/>
      <c r="E13" s="270"/>
      <c r="F13" s="270"/>
      <c r="G13" s="173"/>
      <c r="H13" s="61"/>
      <c r="I13" s="243"/>
      <c r="J13" s="244"/>
      <c r="K13" s="267"/>
      <c r="L13" s="267"/>
      <c r="M13" s="267"/>
      <c r="N13" s="273"/>
      <c r="O13" s="273"/>
    </row>
    <row r="14" spans="1:15" ht="15" customHeight="1">
      <c r="A14" s="243"/>
      <c r="B14" s="244"/>
      <c r="C14" s="270"/>
      <c r="D14" s="270"/>
      <c r="E14" s="270"/>
      <c r="F14" s="270"/>
      <c r="G14" s="173"/>
      <c r="H14" s="61"/>
      <c r="I14" s="243"/>
      <c r="J14" s="244"/>
      <c r="K14" s="267"/>
      <c r="L14" s="267"/>
      <c r="M14" s="267"/>
      <c r="N14" s="273"/>
      <c r="O14" s="273"/>
    </row>
    <row r="15" spans="1:15" ht="15" customHeight="1">
      <c r="A15" s="243"/>
      <c r="B15" s="244"/>
      <c r="C15" s="270"/>
      <c r="D15" s="270"/>
      <c r="E15" s="270"/>
      <c r="F15" s="270"/>
      <c r="G15" s="173"/>
      <c r="H15" s="61"/>
      <c r="I15" s="243"/>
      <c r="J15" s="244"/>
      <c r="K15" s="267"/>
      <c r="L15" s="267"/>
      <c r="M15" s="267"/>
      <c r="N15" s="273"/>
      <c r="O15" s="273"/>
    </row>
    <row r="16" spans="1:15" ht="15" customHeight="1">
      <c r="A16" s="243"/>
      <c r="B16" s="244"/>
      <c r="C16" s="270"/>
      <c r="D16" s="270"/>
      <c r="E16" s="270"/>
      <c r="F16" s="270"/>
      <c r="G16" s="173"/>
      <c r="H16" s="61"/>
      <c r="I16" s="243"/>
      <c r="J16" s="244"/>
      <c r="K16" s="267"/>
      <c r="L16" s="267"/>
      <c r="M16" s="267"/>
      <c r="N16" s="273"/>
      <c r="O16" s="273"/>
    </row>
    <row r="17" spans="1:15" ht="15" customHeight="1">
      <c r="A17" s="243"/>
      <c r="B17" s="244"/>
      <c r="C17" s="270"/>
      <c r="D17" s="270"/>
      <c r="E17" s="270"/>
      <c r="F17" s="270"/>
      <c r="G17" s="173"/>
      <c r="H17" s="61"/>
      <c r="I17" s="243"/>
      <c r="J17" s="244"/>
      <c r="K17" s="267"/>
      <c r="L17" s="267"/>
      <c r="M17" s="267"/>
      <c r="N17" s="273"/>
      <c r="O17" s="273"/>
    </row>
    <row r="18" spans="1:15" ht="15" customHeight="1">
      <c r="A18" s="243"/>
      <c r="B18" s="244"/>
      <c r="C18" s="270"/>
      <c r="D18" s="270"/>
      <c r="E18" s="270"/>
      <c r="F18" s="270"/>
      <c r="G18" s="173"/>
      <c r="H18" s="61"/>
      <c r="I18" s="243"/>
      <c r="J18" s="244"/>
      <c r="K18" s="267"/>
      <c r="L18" s="267"/>
      <c r="M18" s="267"/>
      <c r="N18" s="273"/>
      <c r="O18" s="273"/>
    </row>
    <row r="19" spans="1:15" ht="15" customHeight="1">
      <c r="A19" s="174"/>
      <c r="B19" s="175"/>
      <c r="C19" s="176">
        <f>SUM(C6:C18)</f>
        <v>0</v>
      </c>
      <c r="D19" s="176">
        <f t="shared" ref="D19:E19" si="0">SUM(D6:D18)</f>
        <v>0</v>
      </c>
      <c r="E19" s="176">
        <f t="shared" si="0"/>
        <v>0</v>
      </c>
      <c r="F19" s="176"/>
      <c r="G19" s="177">
        <f>SUM(G6:G18)</f>
        <v>0</v>
      </c>
      <c r="H19" s="61"/>
      <c r="I19" s="178"/>
      <c r="J19" s="179"/>
      <c r="K19" s="180">
        <f>SUM(K6:K18)</f>
        <v>0</v>
      </c>
      <c r="L19" s="180">
        <f t="shared" ref="L19:M19" si="1">SUM(L6:L18)</f>
        <v>0</v>
      </c>
      <c r="M19" s="180">
        <f t="shared" si="1"/>
        <v>0</v>
      </c>
      <c r="N19" s="438">
        <f>SUM(N6:O18)</f>
        <v>0</v>
      </c>
      <c r="O19" s="439"/>
    </row>
    <row r="20" spans="1:15" ht="15" customHeight="1" thickBot="1">
      <c r="A20" s="181"/>
      <c r="B20" s="182"/>
      <c r="C20" s="181"/>
      <c r="D20" s="181"/>
      <c r="E20" s="181"/>
      <c r="F20" s="181"/>
      <c r="G20" s="183"/>
      <c r="H20" s="61"/>
      <c r="I20" s="184"/>
      <c r="J20" s="181"/>
      <c r="K20" s="181"/>
      <c r="L20" s="181"/>
      <c r="M20" s="181"/>
      <c r="N20" s="181"/>
      <c r="O20" s="181"/>
    </row>
    <row r="21" spans="1:15" ht="15" customHeight="1">
      <c r="A21" s="425" t="s">
        <v>117</v>
      </c>
      <c r="B21" s="426"/>
      <c r="C21" s="426"/>
      <c r="D21" s="426"/>
      <c r="E21" s="426"/>
      <c r="F21" s="426"/>
      <c r="G21" s="427"/>
      <c r="H21" s="61"/>
      <c r="I21" s="425" t="s">
        <v>117</v>
      </c>
      <c r="J21" s="426"/>
      <c r="K21" s="426"/>
      <c r="L21" s="426"/>
      <c r="M21" s="426"/>
      <c r="N21" s="426"/>
      <c r="O21" s="427"/>
    </row>
    <row r="22" spans="1:15" ht="15" customHeight="1">
      <c r="A22" s="428" t="s">
        <v>146</v>
      </c>
      <c r="B22" s="429"/>
      <c r="C22" s="429"/>
      <c r="D22" s="429"/>
      <c r="E22" s="429"/>
      <c r="F22" s="429"/>
      <c r="G22" s="430"/>
      <c r="H22" s="61"/>
      <c r="I22" s="428" t="s">
        <v>147</v>
      </c>
      <c r="J22" s="429"/>
      <c r="K22" s="429"/>
      <c r="L22" s="429"/>
      <c r="M22" s="429"/>
      <c r="N22" s="429"/>
      <c r="O22" s="430"/>
    </row>
    <row r="23" spans="1:15" ht="15" customHeight="1">
      <c r="A23" s="155" t="s">
        <v>91</v>
      </c>
      <c r="B23" s="156"/>
      <c r="C23" s="157"/>
      <c r="D23" s="157"/>
      <c r="E23" s="157"/>
      <c r="F23" s="157"/>
      <c r="G23" s="158"/>
      <c r="H23" s="61"/>
      <c r="I23" s="185" t="s">
        <v>91</v>
      </c>
      <c r="J23" s="186"/>
      <c r="K23" s="157"/>
      <c r="L23" s="157"/>
      <c r="M23" s="157"/>
      <c r="N23" s="157"/>
      <c r="O23" s="187"/>
    </row>
    <row r="24" spans="1:15" ht="15" customHeight="1">
      <c r="A24" s="188" t="s">
        <v>92</v>
      </c>
      <c r="B24" s="163"/>
      <c r="C24" s="189"/>
      <c r="D24" s="189"/>
      <c r="E24" s="189"/>
      <c r="F24" s="189"/>
      <c r="G24" s="190"/>
      <c r="H24" s="61"/>
      <c r="I24" s="191" t="s">
        <v>92</v>
      </c>
      <c r="J24" s="163"/>
      <c r="K24" s="189"/>
      <c r="L24" s="189"/>
      <c r="M24" s="189"/>
      <c r="N24" s="189"/>
      <c r="O24" s="192"/>
    </row>
    <row r="25" spans="1:15" ht="15" customHeight="1" thickBot="1">
      <c r="A25" s="168" t="s">
        <v>134</v>
      </c>
      <c r="B25" s="135" t="s">
        <v>137</v>
      </c>
      <c r="C25" s="193" t="s">
        <v>94</v>
      </c>
      <c r="D25" s="193" t="s">
        <v>30</v>
      </c>
      <c r="E25" s="193" t="s">
        <v>120</v>
      </c>
      <c r="F25" s="193" t="s">
        <v>7</v>
      </c>
      <c r="G25" s="194" t="s">
        <v>121</v>
      </c>
      <c r="H25" s="61"/>
      <c r="I25" s="168" t="s">
        <v>134</v>
      </c>
      <c r="J25" s="135" t="s">
        <v>137</v>
      </c>
      <c r="K25" s="193" t="s">
        <v>94</v>
      </c>
      <c r="L25" s="193" t="s">
        <v>30</v>
      </c>
      <c r="M25" s="193" t="s">
        <v>120</v>
      </c>
      <c r="N25" s="193" t="s">
        <v>7</v>
      </c>
      <c r="O25" s="195" t="s">
        <v>121</v>
      </c>
    </row>
    <row r="26" spans="1:15" ht="15" customHeight="1">
      <c r="A26" s="243"/>
      <c r="B26" s="244"/>
      <c r="C26" s="274"/>
      <c r="D26" s="274"/>
      <c r="E26" s="274"/>
      <c r="F26" s="274"/>
      <c r="G26" s="275"/>
      <c r="H26" s="61"/>
      <c r="I26" s="243"/>
      <c r="J26" s="244"/>
      <c r="K26" s="274"/>
      <c r="L26" s="274"/>
      <c r="M26" s="274"/>
      <c r="N26" s="274"/>
      <c r="O26" s="276"/>
    </row>
    <row r="27" spans="1:15" ht="15" customHeight="1">
      <c r="A27" s="243"/>
      <c r="B27" s="244"/>
      <c r="C27" s="270"/>
      <c r="D27" s="270"/>
      <c r="E27" s="270"/>
      <c r="F27" s="270"/>
      <c r="G27" s="173"/>
      <c r="H27" s="61"/>
      <c r="I27" s="243"/>
      <c r="J27" s="244"/>
      <c r="K27" s="270"/>
      <c r="L27" s="270"/>
      <c r="M27" s="270"/>
      <c r="N27" s="270"/>
      <c r="O27" s="270"/>
    </row>
    <row r="28" spans="1:15" ht="15" customHeight="1">
      <c r="A28" s="243"/>
      <c r="B28" s="244"/>
      <c r="C28" s="270"/>
      <c r="D28" s="270"/>
      <c r="E28" s="270"/>
      <c r="F28" s="270"/>
      <c r="G28" s="173"/>
      <c r="H28" s="61"/>
      <c r="I28" s="243"/>
      <c r="J28" s="244"/>
      <c r="K28" s="270"/>
      <c r="L28" s="270"/>
      <c r="M28" s="270"/>
      <c r="N28" s="270"/>
      <c r="O28" s="270"/>
    </row>
    <row r="29" spans="1:15" ht="15" customHeight="1">
      <c r="A29" s="243"/>
      <c r="B29" s="244"/>
      <c r="C29" s="270"/>
      <c r="D29" s="270"/>
      <c r="E29" s="270"/>
      <c r="F29" s="270"/>
      <c r="G29" s="173"/>
      <c r="H29" s="61"/>
      <c r="I29" s="243"/>
      <c r="J29" s="244"/>
      <c r="K29" s="270"/>
      <c r="L29" s="270"/>
      <c r="M29" s="270"/>
      <c r="N29" s="270"/>
      <c r="O29" s="270"/>
    </row>
    <row r="30" spans="1:15" ht="15" customHeight="1">
      <c r="A30" s="243"/>
      <c r="B30" s="244"/>
      <c r="C30" s="270"/>
      <c r="D30" s="270"/>
      <c r="E30" s="270"/>
      <c r="F30" s="270"/>
      <c r="G30" s="173"/>
      <c r="H30" s="61"/>
      <c r="I30" s="243"/>
      <c r="J30" s="244"/>
      <c r="K30" s="270"/>
      <c r="L30" s="270"/>
      <c r="M30" s="270"/>
      <c r="N30" s="270"/>
      <c r="O30" s="270"/>
    </row>
    <row r="31" spans="1:15" ht="15" customHeight="1">
      <c r="A31" s="243"/>
      <c r="B31" s="244"/>
      <c r="C31" s="270"/>
      <c r="D31" s="270"/>
      <c r="E31" s="270"/>
      <c r="F31" s="270"/>
      <c r="G31" s="173"/>
      <c r="H31" s="61"/>
      <c r="I31" s="243"/>
      <c r="J31" s="244"/>
      <c r="K31" s="270"/>
      <c r="L31" s="270"/>
      <c r="M31" s="270"/>
      <c r="N31" s="270"/>
      <c r="O31" s="270"/>
    </row>
    <row r="32" spans="1:15" ht="15" customHeight="1">
      <c r="A32" s="243"/>
      <c r="B32" s="244"/>
      <c r="C32" s="270"/>
      <c r="D32" s="270"/>
      <c r="E32" s="270"/>
      <c r="F32" s="270"/>
      <c r="G32" s="173"/>
      <c r="H32" s="61"/>
      <c r="I32" s="243"/>
      <c r="J32" s="244"/>
      <c r="K32" s="270"/>
      <c r="L32" s="270"/>
      <c r="M32" s="270"/>
      <c r="N32" s="270"/>
      <c r="O32" s="270"/>
    </row>
    <row r="33" spans="1:15" ht="15" customHeight="1">
      <c r="A33" s="243"/>
      <c r="B33" s="244"/>
      <c r="C33" s="270"/>
      <c r="D33" s="270"/>
      <c r="E33" s="270"/>
      <c r="F33" s="270"/>
      <c r="G33" s="173"/>
      <c r="H33" s="61"/>
      <c r="I33" s="243"/>
      <c r="J33" s="244"/>
      <c r="K33" s="270"/>
      <c r="L33" s="270"/>
      <c r="M33" s="270"/>
      <c r="N33" s="270"/>
      <c r="O33" s="270"/>
    </row>
    <row r="34" spans="1:15" ht="15" customHeight="1">
      <c r="A34" s="243"/>
      <c r="B34" s="244"/>
      <c r="C34" s="270"/>
      <c r="D34" s="270"/>
      <c r="E34" s="270"/>
      <c r="F34" s="270"/>
      <c r="G34" s="173"/>
      <c r="H34" s="61"/>
      <c r="I34" s="243"/>
      <c r="J34" s="244"/>
      <c r="K34" s="270"/>
      <c r="L34" s="270"/>
      <c r="M34" s="270"/>
      <c r="N34" s="270"/>
      <c r="O34" s="270"/>
    </row>
    <row r="35" spans="1:15" ht="15" customHeight="1">
      <c r="A35" s="243"/>
      <c r="B35" s="244"/>
      <c r="C35" s="270"/>
      <c r="D35" s="270"/>
      <c r="E35" s="270"/>
      <c r="F35" s="270"/>
      <c r="G35" s="173"/>
      <c r="H35" s="61"/>
      <c r="I35" s="243"/>
      <c r="J35" s="244"/>
      <c r="K35" s="270"/>
      <c r="L35" s="270"/>
      <c r="M35" s="270"/>
      <c r="N35" s="270"/>
      <c r="O35" s="270"/>
    </row>
    <row r="36" spans="1:15" ht="15" customHeight="1">
      <c r="A36" s="243"/>
      <c r="B36" s="244"/>
      <c r="C36" s="270"/>
      <c r="D36" s="270"/>
      <c r="E36" s="270"/>
      <c r="F36" s="270"/>
      <c r="G36" s="173"/>
      <c r="H36" s="61"/>
      <c r="I36" s="243"/>
      <c r="J36" s="244"/>
      <c r="K36" s="270"/>
      <c r="L36" s="270"/>
      <c r="M36" s="270"/>
      <c r="N36" s="270"/>
      <c r="O36" s="270"/>
    </row>
    <row r="37" spans="1:15" ht="15" customHeight="1">
      <c r="A37" s="243"/>
      <c r="B37" s="244"/>
      <c r="C37" s="270"/>
      <c r="D37" s="270"/>
      <c r="E37" s="270"/>
      <c r="F37" s="270"/>
      <c r="G37" s="173"/>
      <c r="H37" s="61"/>
      <c r="I37" s="243"/>
      <c r="J37" s="244"/>
      <c r="K37" s="270"/>
      <c r="L37" s="270"/>
      <c r="M37" s="270"/>
      <c r="N37" s="270"/>
      <c r="O37" s="270"/>
    </row>
    <row r="38" spans="1:15" ht="15" customHeight="1">
      <c r="A38" s="243"/>
      <c r="B38" s="244"/>
      <c r="C38" s="270"/>
      <c r="D38" s="270"/>
      <c r="E38" s="270"/>
      <c r="F38" s="270"/>
      <c r="G38" s="173"/>
      <c r="H38" s="61"/>
      <c r="I38" s="243"/>
      <c r="J38" s="244"/>
      <c r="K38" s="270"/>
      <c r="L38" s="270"/>
      <c r="M38" s="270"/>
      <c r="N38" s="270"/>
      <c r="O38" s="270"/>
    </row>
    <row r="39" spans="1:15" ht="15" customHeight="1">
      <c r="A39" s="243"/>
      <c r="B39" s="244"/>
      <c r="C39" s="270"/>
      <c r="D39" s="270"/>
      <c r="E39" s="270"/>
      <c r="F39" s="270"/>
      <c r="G39" s="173"/>
      <c r="H39" s="61"/>
      <c r="I39" s="243"/>
      <c r="J39" s="244"/>
      <c r="K39" s="270"/>
      <c r="L39" s="270"/>
      <c r="M39" s="270"/>
      <c r="N39" s="270"/>
      <c r="O39" s="270"/>
    </row>
    <row r="40" spans="1:15" ht="15" customHeight="1">
      <c r="A40" s="243"/>
      <c r="B40" s="244"/>
      <c r="C40" s="270"/>
      <c r="D40" s="270"/>
      <c r="E40" s="270"/>
      <c r="F40" s="270"/>
      <c r="G40" s="173"/>
      <c r="H40" s="61"/>
      <c r="I40" s="243"/>
      <c r="J40" s="244"/>
      <c r="K40" s="270"/>
      <c r="L40" s="270"/>
      <c r="M40" s="270"/>
      <c r="N40" s="270"/>
      <c r="O40" s="270"/>
    </row>
    <row r="41" spans="1:15" ht="15" customHeight="1">
      <c r="A41" s="243"/>
      <c r="B41" s="244"/>
      <c r="C41" s="270"/>
      <c r="D41" s="270"/>
      <c r="E41" s="270"/>
      <c r="F41" s="270"/>
      <c r="G41" s="173"/>
      <c r="H41" s="61"/>
      <c r="I41" s="243"/>
      <c r="J41" s="244"/>
      <c r="K41" s="270"/>
      <c r="L41" s="270"/>
      <c r="M41" s="270"/>
      <c r="N41" s="270"/>
      <c r="O41" s="270"/>
    </row>
    <row r="42" spans="1:15" ht="15" customHeight="1">
      <c r="A42" s="243"/>
      <c r="B42" s="244"/>
      <c r="C42" s="270"/>
      <c r="D42" s="270"/>
      <c r="E42" s="270"/>
      <c r="F42" s="270"/>
      <c r="G42" s="173"/>
      <c r="H42" s="61"/>
      <c r="I42" s="243"/>
      <c r="J42" s="244"/>
      <c r="K42" s="270"/>
      <c r="L42" s="270"/>
      <c r="M42" s="270"/>
      <c r="N42" s="270"/>
      <c r="O42" s="270"/>
    </row>
    <row r="43" spans="1:15" ht="15" customHeight="1">
      <c r="A43" s="243"/>
      <c r="B43" s="244"/>
      <c r="C43" s="270"/>
      <c r="D43" s="270"/>
      <c r="E43" s="270"/>
      <c r="F43" s="270"/>
      <c r="G43" s="173"/>
      <c r="H43" s="61"/>
      <c r="I43" s="243"/>
      <c r="J43" s="244"/>
      <c r="K43" s="270"/>
      <c r="L43" s="270"/>
      <c r="M43" s="270"/>
      <c r="N43" s="270"/>
      <c r="O43" s="270"/>
    </row>
    <row r="44" spans="1:15" ht="15" customHeight="1">
      <c r="A44" s="243"/>
      <c r="B44" s="244"/>
      <c r="C44" s="270"/>
      <c r="D44" s="270"/>
      <c r="E44" s="270"/>
      <c r="F44" s="270"/>
      <c r="G44" s="173"/>
      <c r="H44" s="61"/>
      <c r="I44" s="243"/>
      <c r="J44" s="244"/>
      <c r="K44" s="270"/>
      <c r="L44" s="270"/>
      <c r="M44" s="270"/>
      <c r="N44" s="270"/>
      <c r="O44" s="270"/>
    </row>
    <row r="45" spans="1:15" ht="15" customHeight="1">
      <c r="A45" s="243"/>
      <c r="B45" s="244"/>
      <c r="C45" s="270"/>
      <c r="D45" s="270"/>
      <c r="E45" s="270"/>
      <c r="F45" s="270"/>
      <c r="G45" s="173"/>
      <c r="H45" s="61"/>
      <c r="I45" s="243"/>
      <c r="J45" s="244"/>
      <c r="K45" s="270"/>
      <c r="L45" s="270"/>
      <c r="M45" s="270"/>
      <c r="N45" s="270"/>
      <c r="O45" s="270"/>
    </row>
    <row r="46" spans="1:15" ht="15" customHeight="1">
      <c r="A46" s="174"/>
      <c r="B46" s="175"/>
      <c r="C46" s="176">
        <f>SUM(C26:C45)</f>
        <v>0</v>
      </c>
      <c r="D46" s="176">
        <f t="shared" ref="D46:G46" si="2">SUM(D26:D45)</f>
        <v>0</v>
      </c>
      <c r="E46" s="176">
        <f t="shared" si="2"/>
        <v>0</v>
      </c>
      <c r="F46" s="176">
        <f t="shared" si="2"/>
        <v>0</v>
      </c>
      <c r="G46" s="176">
        <f t="shared" si="2"/>
        <v>0</v>
      </c>
      <c r="H46" s="61"/>
      <c r="I46" s="196"/>
      <c r="J46" s="174"/>
      <c r="K46" s="176">
        <f>SUM(K26:K45)</f>
        <v>0</v>
      </c>
      <c r="L46" s="176">
        <f t="shared" ref="L46:N46" si="3">SUM(L26:L45)</f>
        <v>0</v>
      </c>
      <c r="M46" s="176">
        <f t="shared" si="3"/>
        <v>0</v>
      </c>
      <c r="N46" s="176">
        <f t="shared" si="3"/>
        <v>0</v>
      </c>
      <c r="O46" s="176">
        <f>SUM(O26:O45)</f>
        <v>0</v>
      </c>
    </row>
    <row r="47" spans="1:15" ht="15" customHeight="1">
      <c r="H47" s="61"/>
    </row>
    <row r="48" spans="1:15" ht="15" customHeight="1" thickBot="1">
      <c r="H48" s="61"/>
    </row>
    <row r="49" spans="1:8" ht="15" customHeight="1">
      <c r="A49" s="425" t="s">
        <v>117</v>
      </c>
      <c r="B49" s="426"/>
      <c r="C49" s="426"/>
      <c r="D49" s="426"/>
      <c r="E49" s="426"/>
      <c r="F49" s="426"/>
      <c r="G49" s="427"/>
      <c r="H49" s="61"/>
    </row>
    <row r="50" spans="1:8" ht="15" customHeight="1" thickBot="1">
      <c r="A50" s="428" t="s">
        <v>1323</v>
      </c>
      <c r="B50" s="429"/>
      <c r="C50" s="429"/>
      <c r="D50" s="429"/>
      <c r="E50" s="429"/>
      <c r="F50" s="429"/>
      <c r="G50" s="430"/>
      <c r="H50" s="61"/>
    </row>
    <row r="51" spans="1:8" ht="15" customHeight="1" thickBot="1">
      <c r="A51" s="155" t="s">
        <v>91</v>
      </c>
      <c r="B51" s="156"/>
      <c r="C51" s="157"/>
      <c r="D51" s="157"/>
      <c r="E51" s="157"/>
      <c r="F51" s="157"/>
      <c r="G51" s="158"/>
      <c r="H51" s="61"/>
    </row>
    <row r="52" spans="1:8" ht="15" customHeight="1" thickBot="1">
      <c r="A52" s="188" t="s">
        <v>92</v>
      </c>
      <c r="B52" s="163"/>
      <c r="C52" s="189"/>
      <c r="D52" s="189"/>
      <c r="E52" s="189"/>
      <c r="F52" s="189"/>
      <c r="G52" s="190"/>
      <c r="H52" s="61"/>
    </row>
    <row r="53" spans="1:8" ht="15" customHeight="1" thickBot="1">
      <c r="A53" s="168" t="s">
        <v>134</v>
      </c>
      <c r="B53" s="135" t="s">
        <v>137</v>
      </c>
      <c r="C53" s="193" t="s">
        <v>94</v>
      </c>
      <c r="D53" s="193" t="s">
        <v>30</v>
      </c>
      <c r="E53" s="193" t="s">
        <v>120</v>
      </c>
      <c r="F53" s="193" t="s">
        <v>7</v>
      </c>
      <c r="G53" s="194" t="s">
        <v>121</v>
      </c>
      <c r="H53" s="61"/>
    </row>
    <row r="54" spans="1:8" ht="15" customHeight="1">
      <c r="A54" s="243"/>
      <c r="B54" s="244"/>
      <c r="C54" s="274"/>
      <c r="D54" s="274"/>
      <c r="E54" s="274"/>
      <c r="F54" s="274"/>
      <c r="G54" s="275"/>
      <c r="H54" s="61"/>
    </row>
    <row r="55" spans="1:8" ht="15" customHeight="1">
      <c r="A55" s="243"/>
      <c r="B55" s="244"/>
      <c r="C55" s="270"/>
      <c r="D55" s="270"/>
      <c r="E55" s="270"/>
      <c r="F55" s="270"/>
      <c r="G55" s="173"/>
      <c r="H55" s="61"/>
    </row>
    <row r="56" spans="1:8" ht="15" customHeight="1">
      <c r="A56" s="243"/>
      <c r="B56" s="244"/>
      <c r="C56" s="270"/>
      <c r="D56" s="270"/>
      <c r="E56" s="270"/>
      <c r="F56" s="270"/>
      <c r="G56" s="173"/>
      <c r="H56" s="61"/>
    </row>
    <row r="57" spans="1:8" ht="15" customHeight="1">
      <c r="A57" s="243"/>
      <c r="B57" s="244"/>
      <c r="C57" s="270"/>
      <c r="D57" s="270"/>
      <c r="E57" s="270"/>
      <c r="F57" s="270"/>
      <c r="G57" s="173"/>
      <c r="H57" s="61"/>
    </row>
    <row r="58" spans="1:8" ht="15" customHeight="1">
      <c r="A58" s="243"/>
      <c r="B58" s="244"/>
      <c r="C58" s="270"/>
      <c r="D58" s="270"/>
      <c r="E58" s="270"/>
      <c r="F58" s="270"/>
      <c r="G58" s="173"/>
      <c r="H58" s="61"/>
    </row>
    <row r="59" spans="1:8" ht="15" customHeight="1">
      <c r="A59" s="243"/>
      <c r="B59" s="244"/>
      <c r="C59" s="270"/>
      <c r="D59" s="270"/>
      <c r="E59" s="270"/>
      <c r="F59" s="270"/>
      <c r="G59" s="173"/>
      <c r="H59" s="61"/>
    </row>
    <row r="60" spans="1:8" ht="15" customHeight="1">
      <c r="A60" s="243"/>
      <c r="B60" s="244"/>
      <c r="C60" s="270"/>
      <c r="D60" s="270"/>
      <c r="E60" s="270"/>
      <c r="F60" s="270"/>
      <c r="G60" s="173"/>
      <c r="H60" s="61"/>
    </row>
    <row r="61" spans="1:8" ht="15" customHeight="1">
      <c r="A61" s="243"/>
      <c r="B61" s="244"/>
      <c r="C61" s="270"/>
      <c r="D61" s="270"/>
      <c r="E61" s="270"/>
      <c r="F61" s="270"/>
      <c r="G61" s="173"/>
      <c r="H61" s="61"/>
    </row>
    <row r="62" spans="1:8" ht="15" customHeight="1">
      <c r="A62" s="243"/>
      <c r="B62" s="244"/>
      <c r="C62" s="270"/>
      <c r="D62" s="270"/>
      <c r="E62" s="270"/>
      <c r="F62" s="270"/>
      <c r="G62" s="173"/>
      <c r="H62" s="61"/>
    </row>
    <row r="63" spans="1:8" ht="15" customHeight="1">
      <c r="A63" s="243"/>
      <c r="B63" s="244"/>
      <c r="C63" s="270"/>
      <c r="D63" s="270"/>
      <c r="E63" s="270"/>
      <c r="F63" s="270"/>
      <c r="G63" s="173"/>
      <c r="H63" s="61"/>
    </row>
    <row r="64" spans="1:8" ht="15" customHeight="1">
      <c r="A64" s="243"/>
      <c r="B64" s="244"/>
      <c r="C64" s="270"/>
      <c r="D64" s="270"/>
      <c r="E64" s="270"/>
      <c r="F64" s="270"/>
      <c r="G64" s="173"/>
      <c r="H64" s="61"/>
    </row>
    <row r="65" spans="1:8" ht="15" customHeight="1">
      <c r="A65" s="243"/>
      <c r="B65" s="244"/>
      <c r="C65" s="270"/>
      <c r="D65" s="270"/>
      <c r="E65" s="270"/>
      <c r="F65" s="270"/>
      <c r="G65" s="173"/>
      <c r="H65" s="61"/>
    </row>
    <row r="66" spans="1:8" ht="15" customHeight="1">
      <c r="A66" s="243"/>
      <c r="B66" s="244"/>
      <c r="C66" s="270"/>
      <c r="D66" s="270"/>
      <c r="E66" s="270"/>
      <c r="F66" s="270"/>
      <c r="G66" s="173"/>
      <c r="H66" s="61"/>
    </row>
    <row r="67" spans="1:8" ht="15" customHeight="1">
      <c r="A67" s="243"/>
      <c r="B67" s="244"/>
      <c r="C67" s="270"/>
      <c r="D67" s="270"/>
      <c r="E67" s="270"/>
      <c r="F67" s="270"/>
      <c r="G67" s="173"/>
      <c r="H67" s="61"/>
    </row>
    <row r="68" spans="1:8" ht="15" customHeight="1">
      <c r="A68" s="243"/>
      <c r="B68" s="244"/>
      <c r="C68" s="270"/>
      <c r="D68" s="270"/>
      <c r="E68" s="270"/>
      <c r="F68" s="270"/>
      <c r="G68" s="173"/>
      <c r="H68" s="61"/>
    </row>
    <row r="69" spans="1:8" ht="15" customHeight="1">
      <c r="A69" s="243"/>
      <c r="B69" s="244"/>
      <c r="C69" s="270"/>
      <c r="D69" s="270"/>
      <c r="E69" s="270"/>
      <c r="F69" s="270"/>
      <c r="G69" s="173"/>
      <c r="H69" s="61"/>
    </row>
    <row r="70" spans="1:8" ht="15" customHeight="1">
      <c r="A70" s="243"/>
      <c r="B70" s="244"/>
      <c r="C70" s="270"/>
      <c r="D70" s="270"/>
      <c r="E70" s="270"/>
      <c r="F70" s="270"/>
      <c r="G70" s="173"/>
      <c r="H70" s="61"/>
    </row>
    <row r="71" spans="1:8" ht="15" customHeight="1">
      <c r="A71" s="243"/>
      <c r="B71" s="244"/>
      <c r="C71" s="270"/>
      <c r="D71" s="270"/>
      <c r="E71" s="270"/>
      <c r="F71" s="270"/>
      <c r="G71" s="173"/>
      <c r="H71" s="61"/>
    </row>
    <row r="72" spans="1:8" ht="15" customHeight="1">
      <c r="A72" s="243"/>
      <c r="B72" s="244"/>
      <c r="C72" s="270"/>
      <c r="D72" s="270"/>
      <c r="E72" s="270"/>
      <c r="F72" s="270"/>
      <c r="G72" s="173"/>
    </row>
    <row r="73" spans="1:8" ht="15" customHeight="1">
      <c r="A73" s="243"/>
      <c r="B73" s="244"/>
      <c r="C73" s="270"/>
      <c r="D73" s="270"/>
      <c r="E73" s="270"/>
      <c r="F73" s="270"/>
      <c r="G73" s="173"/>
    </row>
    <row r="74" spans="1:8" ht="15" customHeight="1">
      <c r="A74" s="174"/>
      <c r="B74" s="175"/>
      <c r="C74" s="176">
        <f>SUM(C54:C73)</f>
        <v>0</v>
      </c>
      <c r="D74" s="176">
        <f t="shared" ref="D74:G74" si="4">SUM(D54:D73)</f>
        <v>0</v>
      </c>
      <c r="E74" s="176">
        <f t="shared" si="4"/>
        <v>0</v>
      </c>
      <c r="F74" s="176">
        <f t="shared" si="4"/>
        <v>0</v>
      </c>
      <c r="G74" s="176">
        <f t="shared" si="4"/>
        <v>0</v>
      </c>
    </row>
  </sheetData>
  <mergeCells count="12">
    <mergeCell ref="A49:G49"/>
    <mergeCell ref="A50:G50"/>
    <mergeCell ref="I1:O1"/>
    <mergeCell ref="I2:O2"/>
    <mergeCell ref="N5:O5"/>
    <mergeCell ref="A1:G1"/>
    <mergeCell ref="A2:G2"/>
    <mergeCell ref="A22:G22"/>
    <mergeCell ref="I21:O21"/>
    <mergeCell ref="I22:O22"/>
    <mergeCell ref="A21:G21"/>
    <mergeCell ref="N19:O19"/>
  </mergeCells>
  <pageMargins left="0.7" right="0.7" top="0.75" bottom="0.75" header="0.3" footer="0.3"/>
  <pageSetup paperSize="9" orientation="portrait" r:id="rId1"/>
  <headerFooter>
    <oddFooter>&amp;C&amp;"Helvetica Neue,Regular"&amp;12&amp;K000000&amp;P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6A5A6F-95D0-40EE-AB2A-A930673529D1}">
          <x14:formula1>
            <xm:f>'PRODUCT LIST'!$A:$A</xm:f>
          </x14:formula1>
          <xm:sqref>B6:B18 J6:J18 B26:B45 J26:J45 B54:B73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  <pageSetUpPr fitToPage="1"/>
  </sheetPr>
  <dimension ref="A1:IO124"/>
  <sheetViews>
    <sheetView showGridLines="0" zoomScale="99" zoomScaleNormal="99" workbookViewId="0">
      <selection activeCell="G3" sqref="G3:K3"/>
    </sheetView>
  </sheetViews>
  <sheetFormatPr baseColWidth="10" defaultColWidth="8.83203125" defaultRowHeight="15" customHeight="1"/>
  <cols>
    <col min="1" max="1" width="9.5" style="85" customWidth="1"/>
    <col min="2" max="2" width="19.83203125" style="85" customWidth="1"/>
    <col min="3" max="3" width="56.1640625" style="85" customWidth="1"/>
    <col min="4" max="4" width="7.1640625" style="85" customWidth="1"/>
    <col min="5" max="5" width="11.83203125" style="85" customWidth="1"/>
    <col min="6" max="6" width="9.5" style="85" customWidth="1"/>
    <col min="7" max="7" width="9.6640625" style="85" customWidth="1"/>
    <col min="8" max="11" width="16.5" style="85" customWidth="1"/>
    <col min="12" max="249" width="8.83203125" style="85" customWidth="1"/>
    <col min="250" max="16384" width="8.83203125" style="86"/>
  </cols>
  <sheetData>
    <row r="1" spans="1:11" ht="15" customHeight="1">
      <c r="A1" s="442" t="s">
        <v>108</v>
      </c>
      <c r="B1" s="443"/>
      <c r="C1" s="443"/>
      <c r="D1" s="443"/>
      <c r="E1" s="443"/>
      <c r="F1" s="443"/>
      <c r="G1" s="443"/>
      <c r="H1" s="443"/>
      <c r="I1" s="443"/>
      <c r="J1" s="443"/>
      <c r="K1" s="444"/>
    </row>
    <row r="2" spans="1:11" ht="15" customHeight="1">
      <c r="A2" s="198" t="s">
        <v>148</v>
      </c>
      <c r="B2" s="198" t="s">
        <v>109</v>
      </c>
      <c r="C2" s="198" t="s">
        <v>110</v>
      </c>
      <c r="D2" s="198" t="s">
        <v>94</v>
      </c>
      <c r="E2" s="198" t="s">
        <v>30</v>
      </c>
      <c r="F2" s="198" t="s">
        <v>4</v>
      </c>
      <c r="G2" s="199" t="s">
        <v>7</v>
      </c>
      <c r="H2" s="198" t="s">
        <v>111</v>
      </c>
      <c r="I2" s="198" t="s">
        <v>112</v>
      </c>
      <c r="J2" s="198" t="s">
        <v>113</v>
      </c>
      <c r="K2" s="198" t="s">
        <v>114</v>
      </c>
    </row>
    <row r="3" spans="1:11" ht="15" customHeight="1">
      <c r="A3" s="243"/>
      <c r="B3" s="246"/>
      <c r="C3" s="244"/>
      <c r="D3" s="246"/>
      <c r="E3" s="246"/>
      <c r="F3" s="277"/>
      <c r="G3" s="278"/>
      <c r="H3" s="246"/>
      <c r="I3" s="246"/>
      <c r="J3" s="262"/>
      <c r="K3" s="246"/>
    </row>
    <row r="4" spans="1:11" ht="15" customHeight="1">
      <c r="A4" s="243"/>
      <c r="B4" s="279"/>
      <c r="C4" s="244"/>
      <c r="D4" s="279"/>
      <c r="E4" s="279"/>
      <c r="F4" s="280"/>
      <c r="G4" s="278">
        <v>0</v>
      </c>
      <c r="H4" s="279"/>
      <c r="I4" s="279"/>
      <c r="J4" s="281"/>
      <c r="K4" s="279"/>
    </row>
    <row r="5" spans="1:11" ht="15" customHeight="1">
      <c r="A5" s="243"/>
      <c r="B5" s="60"/>
      <c r="C5" s="244"/>
      <c r="D5" s="282"/>
      <c r="E5" s="282"/>
      <c r="F5" s="283"/>
      <c r="G5" s="278">
        <f t="shared" ref="G5:G20" si="0">SUM(E5+F5)</f>
        <v>0</v>
      </c>
      <c r="H5" s="284"/>
      <c r="I5" s="284"/>
      <c r="J5" s="284"/>
      <c r="K5" s="284"/>
    </row>
    <row r="6" spans="1:11" ht="15" customHeight="1">
      <c r="A6" s="243"/>
      <c r="B6" s="60"/>
      <c r="C6" s="244"/>
      <c r="D6" s="282"/>
      <c r="E6" s="282"/>
      <c r="F6" s="283"/>
      <c r="G6" s="278"/>
      <c r="H6" s="246"/>
      <c r="I6" s="284"/>
      <c r="J6" s="278"/>
      <c r="K6" s="278"/>
    </row>
    <row r="7" spans="1:11" ht="15" customHeight="1">
      <c r="A7" s="243"/>
      <c r="B7" s="60"/>
      <c r="C7" s="244"/>
      <c r="D7" s="282"/>
      <c r="E7" s="282"/>
      <c r="F7" s="283"/>
      <c r="G7" s="278"/>
      <c r="H7" s="284"/>
      <c r="I7" s="284"/>
      <c r="J7" s="284"/>
      <c r="K7" s="284"/>
    </row>
    <row r="8" spans="1:11" ht="15" customHeight="1">
      <c r="A8" s="243"/>
      <c r="B8" s="60"/>
      <c r="C8" s="244"/>
      <c r="D8" s="282"/>
      <c r="E8" s="282"/>
      <c r="F8" s="283"/>
      <c r="G8" s="278">
        <f t="shared" si="0"/>
        <v>0</v>
      </c>
      <c r="H8" s="284"/>
      <c r="I8" s="284"/>
      <c r="J8" s="284"/>
      <c r="K8" s="284"/>
    </row>
    <row r="9" spans="1:11" ht="15" customHeight="1">
      <c r="A9" s="243"/>
      <c r="B9" s="60"/>
      <c r="C9" s="244"/>
      <c r="D9" s="282"/>
      <c r="E9" s="282"/>
      <c r="F9" s="283"/>
      <c r="G9" s="278">
        <f t="shared" si="0"/>
        <v>0</v>
      </c>
      <c r="H9" s="284"/>
      <c r="I9" s="284"/>
      <c r="J9" s="284"/>
      <c r="K9" s="284"/>
    </row>
    <row r="10" spans="1:11" ht="15" customHeight="1">
      <c r="A10" s="243"/>
      <c r="B10" s="60"/>
      <c r="C10" s="244"/>
      <c r="D10" s="282"/>
      <c r="E10" s="282"/>
      <c r="F10" s="283"/>
      <c r="G10" s="278">
        <f t="shared" si="0"/>
        <v>0</v>
      </c>
      <c r="H10" s="284"/>
      <c r="I10" s="284"/>
      <c r="J10" s="284"/>
      <c r="K10" s="284"/>
    </row>
    <row r="11" spans="1:11" ht="15" customHeight="1">
      <c r="A11" s="243"/>
      <c r="B11" s="60"/>
      <c r="C11" s="244"/>
      <c r="D11" s="282"/>
      <c r="E11" s="282"/>
      <c r="F11" s="283"/>
      <c r="G11" s="278">
        <f t="shared" si="0"/>
        <v>0</v>
      </c>
      <c r="H11" s="284"/>
      <c r="I11" s="284"/>
      <c r="J11" s="284"/>
      <c r="K11" s="284"/>
    </row>
    <row r="12" spans="1:11" ht="15" customHeight="1">
      <c r="A12" s="243"/>
      <c r="B12" s="60"/>
      <c r="C12" s="244"/>
      <c r="D12" s="282"/>
      <c r="E12" s="282"/>
      <c r="F12" s="283"/>
      <c r="G12" s="278">
        <f t="shared" si="0"/>
        <v>0</v>
      </c>
      <c r="H12" s="284"/>
      <c r="I12" s="284"/>
      <c r="J12" s="284"/>
      <c r="K12" s="284"/>
    </row>
    <row r="13" spans="1:11" ht="15" customHeight="1">
      <c r="A13" s="243"/>
      <c r="B13" s="60"/>
      <c r="C13" s="244"/>
      <c r="D13" s="282"/>
      <c r="E13" s="282"/>
      <c r="F13" s="283"/>
      <c r="G13" s="278">
        <f t="shared" si="0"/>
        <v>0</v>
      </c>
      <c r="H13" s="284"/>
      <c r="I13" s="284"/>
      <c r="J13" s="284"/>
      <c r="K13" s="284"/>
    </row>
    <row r="14" spans="1:11" ht="15" customHeight="1">
      <c r="A14" s="243"/>
      <c r="B14" s="60"/>
      <c r="C14" s="244"/>
      <c r="D14" s="282"/>
      <c r="E14" s="282"/>
      <c r="F14" s="283"/>
      <c r="G14" s="278">
        <f t="shared" si="0"/>
        <v>0</v>
      </c>
      <c r="H14" s="284"/>
      <c r="I14" s="284"/>
      <c r="J14" s="284"/>
      <c r="K14" s="284"/>
    </row>
    <row r="15" spans="1:11" ht="15" customHeight="1">
      <c r="A15" s="243"/>
      <c r="B15" s="60"/>
      <c r="C15" s="244"/>
      <c r="D15" s="282"/>
      <c r="E15" s="282"/>
      <c r="F15" s="283"/>
      <c r="G15" s="278">
        <f t="shared" si="0"/>
        <v>0</v>
      </c>
      <c r="H15" s="284"/>
      <c r="I15" s="284"/>
      <c r="J15" s="284"/>
      <c r="K15" s="284"/>
    </row>
    <row r="16" spans="1:11">
      <c r="A16" s="243"/>
      <c r="B16" s="60"/>
      <c r="C16" s="244"/>
      <c r="D16" s="60"/>
      <c r="E16" s="60"/>
      <c r="F16" s="283"/>
      <c r="G16" s="278">
        <f t="shared" si="0"/>
        <v>0</v>
      </c>
      <c r="H16" s="60"/>
      <c r="I16" s="261"/>
      <c r="J16" s="261"/>
      <c r="K16" s="60"/>
    </row>
    <row r="17" spans="1:11" ht="15" customHeight="1">
      <c r="A17" s="243"/>
      <c r="B17" s="60"/>
      <c r="C17" s="244"/>
      <c r="D17" s="60"/>
      <c r="E17" s="60"/>
      <c r="F17" s="283"/>
      <c r="G17" s="278">
        <f t="shared" si="0"/>
        <v>0</v>
      </c>
      <c r="H17" s="60"/>
      <c r="I17" s="261"/>
      <c r="J17" s="261"/>
      <c r="K17" s="261"/>
    </row>
    <row r="18" spans="1:11" ht="15" customHeight="1">
      <c r="A18" s="243"/>
      <c r="B18" s="243"/>
      <c r="C18" s="244"/>
      <c r="D18" s="285"/>
      <c r="E18" s="258"/>
      <c r="F18" s="286"/>
      <c r="G18" s="278">
        <f t="shared" si="0"/>
        <v>0</v>
      </c>
      <c r="H18" s="259"/>
      <c r="I18" s="287"/>
      <c r="J18" s="262"/>
      <c r="K18" s="262"/>
    </row>
    <row r="19" spans="1:11" ht="16.5" customHeight="1">
      <c r="A19" s="243"/>
      <c r="B19" s="246"/>
      <c r="C19" s="244"/>
      <c r="D19" s="246"/>
      <c r="E19" s="246"/>
      <c r="F19" s="288"/>
      <c r="G19" s="278">
        <f t="shared" si="0"/>
        <v>0</v>
      </c>
      <c r="H19" s="261"/>
      <c r="I19" s="287"/>
      <c r="J19" s="262"/>
      <c r="K19" s="262"/>
    </row>
    <row r="20" spans="1:11" ht="15" customHeight="1">
      <c r="A20" s="243"/>
      <c r="B20" s="246"/>
      <c r="C20" s="244"/>
      <c r="D20" s="246"/>
      <c r="E20" s="246"/>
      <c r="F20" s="288"/>
      <c r="G20" s="278">
        <f t="shared" si="0"/>
        <v>0</v>
      </c>
      <c r="H20" s="261"/>
      <c r="I20" s="287"/>
      <c r="J20" s="262"/>
      <c r="K20" s="262"/>
    </row>
    <row r="21" spans="1:11" ht="15" customHeight="1">
      <c r="A21" s="200"/>
      <c r="B21" s="200"/>
      <c r="C21" s="200"/>
      <c r="D21" s="201">
        <f>SUM(D3:D20)</f>
        <v>0</v>
      </c>
      <c r="E21" s="201">
        <f>SUM(E3:E20)</f>
        <v>0</v>
      </c>
      <c r="F21" s="201">
        <f>SUM(F3:F20)</f>
        <v>0</v>
      </c>
      <c r="G21" s="292">
        <f>SUM(G3:G20)</f>
        <v>0</v>
      </c>
      <c r="H21" s="200"/>
      <c r="I21" s="200"/>
      <c r="J21" s="200"/>
      <c r="K21" s="200"/>
    </row>
    <row r="22" spans="1:11" ht="15" customHeight="1">
      <c r="A22" s="202"/>
      <c r="B22" s="202"/>
      <c r="C22" s="202"/>
      <c r="D22" s="202"/>
      <c r="E22" s="202"/>
      <c r="F22" s="202"/>
      <c r="G22" s="202"/>
      <c r="H22" s="202"/>
      <c r="I22" s="202"/>
      <c r="J22" s="202"/>
      <c r="K22" s="202"/>
    </row>
    <row r="23" spans="1:11" ht="15" customHeight="1">
      <c r="A23" s="202"/>
      <c r="B23" s="202"/>
      <c r="C23" s="202"/>
      <c r="D23" s="202"/>
      <c r="E23" s="202"/>
      <c r="F23" s="202"/>
      <c r="G23" s="202"/>
      <c r="H23" s="202"/>
      <c r="I23" s="202"/>
      <c r="J23" s="202"/>
      <c r="K23" s="202"/>
    </row>
    <row r="24" spans="1:11" ht="15" customHeight="1">
      <c r="A24" s="202"/>
      <c r="B24" s="202"/>
      <c r="C24" s="202"/>
      <c r="D24" s="202"/>
      <c r="E24" s="202"/>
      <c r="F24" s="202"/>
      <c r="G24" s="202"/>
      <c r="H24" s="202"/>
      <c r="I24" s="202"/>
      <c r="J24" s="202"/>
      <c r="K24" s="202"/>
    </row>
    <row r="25" spans="1:11" ht="15" customHeight="1">
      <c r="A25" s="202"/>
      <c r="B25" s="202"/>
      <c r="C25" s="202"/>
      <c r="D25" s="202"/>
      <c r="E25" s="202"/>
      <c r="F25" s="202"/>
      <c r="G25" s="202"/>
      <c r="H25" s="202"/>
      <c r="I25" s="202"/>
      <c r="J25" s="202"/>
      <c r="K25" s="202"/>
    </row>
    <row r="26" spans="1:11" ht="15" customHeight="1">
      <c r="A26" s="445" t="s">
        <v>1338</v>
      </c>
      <c r="B26" s="446"/>
      <c r="C26" s="446"/>
      <c r="D26" s="446"/>
      <c r="E26" s="446"/>
      <c r="F26" s="446"/>
      <c r="G26" s="446"/>
      <c r="H26" s="446"/>
      <c r="I26" s="446"/>
      <c r="J26" s="446"/>
      <c r="K26" s="447"/>
    </row>
    <row r="27" spans="1:11" ht="15" customHeight="1">
      <c r="A27" s="198" t="s">
        <v>93</v>
      </c>
      <c r="B27" s="198" t="s">
        <v>109</v>
      </c>
      <c r="C27" s="198" t="s">
        <v>110</v>
      </c>
      <c r="D27" s="198" t="s">
        <v>94</v>
      </c>
      <c r="E27" s="198" t="s">
        <v>30</v>
      </c>
      <c r="F27" s="198" t="s">
        <v>4</v>
      </c>
      <c r="G27" s="199" t="s">
        <v>7</v>
      </c>
      <c r="H27" s="198" t="s">
        <v>111</v>
      </c>
      <c r="I27" s="198" t="s">
        <v>112</v>
      </c>
      <c r="J27" s="198" t="s">
        <v>113</v>
      </c>
      <c r="K27" s="198" t="s">
        <v>114</v>
      </c>
    </row>
    <row r="28" spans="1:11" ht="15" customHeight="1">
      <c r="A28" s="243"/>
      <c r="B28" s="203"/>
      <c r="C28" s="244"/>
      <c r="D28" s="203"/>
      <c r="E28" s="203"/>
      <c r="F28" s="204"/>
      <c r="G28" s="205">
        <f>SUM(E28+F28)</f>
        <v>0</v>
      </c>
      <c r="H28" s="203"/>
      <c r="I28" s="203"/>
      <c r="J28" s="203"/>
      <c r="K28" s="203"/>
    </row>
    <row r="29" spans="1:11" ht="15" customHeight="1">
      <c r="A29" s="243"/>
      <c r="B29" s="203"/>
      <c r="C29" s="244"/>
      <c r="D29" s="203"/>
      <c r="E29" s="203"/>
      <c r="F29" s="204"/>
      <c r="G29" s="205">
        <f>SUM(E29+F29)</f>
        <v>0</v>
      </c>
      <c r="H29" s="203"/>
      <c r="I29" s="203"/>
      <c r="J29" s="203"/>
      <c r="K29" s="203"/>
    </row>
    <row r="30" spans="1:11" ht="15" customHeight="1">
      <c r="A30" s="243"/>
      <c r="B30" s="203"/>
      <c r="C30" s="244"/>
      <c r="D30" s="203"/>
      <c r="E30" s="203"/>
      <c r="F30" s="204"/>
      <c r="G30" s="205">
        <f t="shared" ref="G30:G48" si="1">SUM(E30+F30)</f>
        <v>0</v>
      </c>
      <c r="H30" s="203"/>
      <c r="I30" s="203"/>
      <c r="J30" s="203"/>
      <c r="K30" s="203"/>
    </row>
    <row r="31" spans="1:11" ht="15" customHeight="1">
      <c r="A31" s="243"/>
      <c r="B31" s="203"/>
      <c r="C31" s="244"/>
      <c r="D31" s="203"/>
      <c r="E31" s="203"/>
      <c r="F31" s="204"/>
      <c r="G31" s="205">
        <f t="shared" si="1"/>
        <v>0</v>
      </c>
      <c r="H31" s="203"/>
      <c r="I31" s="203"/>
      <c r="J31" s="203"/>
      <c r="K31" s="203"/>
    </row>
    <row r="32" spans="1:11" ht="15" customHeight="1">
      <c r="A32" s="243"/>
      <c r="B32" s="203"/>
      <c r="C32" s="244"/>
      <c r="D32" s="203"/>
      <c r="E32" s="203"/>
      <c r="F32" s="204"/>
      <c r="G32" s="205">
        <f t="shared" si="1"/>
        <v>0</v>
      </c>
      <c r="H32" s="203"/>
      <c r="I32" s="203"/>
      <c r="J32" s="203"/>
      <c r="K32" s="203"/>
    </row>
    <row r="33" spans="1:11" ht="15" customHeight="1">
      <c r="A33" s="243"/>
      <c r="B33" s="203"/>
      <c r="C33" s="244"/>
      <c r="D33" s="203"/>
      <c r="E33" s="203"/>
      <c r="F33" s="204"/>
      <c r="G33" s="205">
        <f t="shared" si="1"/>
        <v>0</v>
      </c>
      <c r="H33" s="203"/>
      <c r="I33" s="203"/>
      <c r="J33" s="203"/>
      <c r="K33" s="203"/>
    </row>
    <row r="34" spans="1:11" ht="15" customHeight="1">
      <c r="A34" s="243"/>
      <c r="B34" s="203"/>
      <c r="C34" s="244"/>
      <c r="D34" s="203"/>
      <c r="E34" s="203"/>
      <c r="F34" s="204"/>
      <c r="G34" s="205">
        <f t="shared" si="1"/>
        <v>0</v>
      </c>
      <c r="H34" s="203"/>
      <c r="I34" s="203"/>
      <c r="J34" s="203"/>
      <c r="K34" s="203"/>
    </row>
    <row r="35" spans="1:11" ht="15" customHeight="1">
      <c r="A35" s="243"/>
      <c r="B35" s="203"/>
      <c r="C35" s="244"/>
      <c r="D35" s="203"/>
      <c r="E35" s="203"/>
      <c r="F35" s="204"/>
      <c r="G35" s="205">
        <f t="shared" si="1"/>
        <v>0</v>
      </c>
      <c r="H35" s="203"/>
      <c r="I35" s="203"/>
      <c r="J35" s="203"/>
      <c r="K35" s="203"/>
    </row>
    <row r="36" spans="1:11" ht="15" customHeight="1">
      <c r="A36" s="243"/>
      <c r="B36" s="203"/>
      <c r="C36" s="244"/>
      <c r="D36" s="203"/>
      <c r="E36" s="203"/>
      <c r="F36" s="204"/>
      <c r="G36" s="205">
        <f t="shared" si="1"/>
        <v>0</v>
      </c>
      <c r="H36" s="203"/>
      <c r="I36" s="203"/>
      <c r="J36" s="203"/>
      <c r="K36" s="203"/>
    </row>
    <row r="37" spans="1:11" ht="15" customHeight="1">
      <c r="A37" s="243"/>
      <c r="B37" s="203"/>
      <c r="C37" s="244"/>
      <c r="D37" s="203"/>
      <c r="E37" s="203"/>
      <c r="F37" s="204"/>
      <c r="G37" s="205">
        <f t="shared" si="1"/>
        <v>0</v>
      </c>
      <c r="H37" s="203"/>
      <c r="I37" s="203"/>
      <c r="J37" s="203"/>
      <c r="K37" s="203"/>
    </row>
    <row r="38" spans="1:11" ht="15" customHeight="1">
      <c r="A38" s="243"/>
      <c r="B38" s="203"/>
      <c r="C38" s="244"/>
      <c r="D38" s="203"/>
      <c r="E38" s="203"/>
      <c r="F38" s="204"/>
      <c r="G38" s="205">
        <f t="shared" si="1"/>
        <v>0</v>
      </c>
      <c r="H38" s="203"/>
      <c r="I38" s="203"/>
      <c r="J38" s="203"/>
      <c r="K38" s="203"/>
    </row>
    <row r="39" spans="1:11" ht="15" customHeight="1">
      <c r="A39" s="243"/>
      <c r="B39" s="203"/>
      <c r="C39" s="244"/>
      <c r="D39" s="203"/>
      <c r="E39" s="203"/>
      <c r="F39" s="204"/>
      <c r="G39" s="205">
        <f t="shared" si="1"/>
        <v>0</v>
      </c>
      <c r="H39" s="203"/>
      <c r="I39" s="203"/>
      <c r="J39" s="203"/>
      <c r="K39" s="203"/>
    </row>
    <row r="40" spans="1:11" ht="15" customHeight="1">
      <c r="A40" s="243"/>
      <c r="B40" s="203"/>
      <c r="C40" s="244"/>
      <c r="D40" s="203"/>
      <c r="E40" s="203"/>
      <c r="F40" s="204"/>
      <c r="G40" s="205">
        <f t="shared" si="1"/>
        <v>0</v>
      </c>
      <c r="H40" s="203"/>
      <c r="I40" s="203"/>
      <c r="J40" s="203"/>
      <c r="K40" s="203"/>
    </row>
    <row r="41" spans="1:11" ht="15" customHeight="1">
      <c r="A41" s="243"/>
      <c r="B41" s="203"/>
      <c r="C41" s="244"/>
      <c r="D41" s="203"/>
      <c r="E41" s="203"/>
      <c r="F41" s="204"/>
      <c r="G41" s="205">
        <f t="shared" si="1"/>
        <v>0</v>
      </c>
      <c r="H41" s="203"/>
      <c r="I41" s="203"/>
      <c r="J41" s="203"/>
      <c r="K41" s="203"/>
    </row>
    <row r="42" spans="1:11" ht="15" customHeight="1">
      <c r="A42" s="243"/>
      <c r="B42" s="203"/>
      <c r="C42" s="244"/>
      <c r="D42" s="203"/>
      <c r="E42" s="203"/>
      <c r="F42" s="204"/>
      <c r="G42" s="205">
        <f t="shared" si="1"/>
        <v>0</v>
      </c>
      <c r="H42" s="203"/>
      <c r="I42" s="203"/>
      <c r="J42" s="203"/>
      <c r="K42" s="203"/>
    </row>
    <row r="43" spans="1:11" ht="15" customHeight="1">
      <c r="A43" s="243"/>
      <c r="B43" s="203"/>
      <c r="C43" s="244"/>
      <c r="D43" s="203"/>
      <c r="E43" s="203"/>
      <c r="F43" s="204"/>
      <c r="G43" s="205">
        <f t="shared" si="1"/>
        <v>0</v>
      </c>
      <c r="H43" s="203"/>
      <c r="I43" s="203"/>
      <c r="J43" s="203"/>
      <c r="K43" s="203"/>
    </row>
    <row r="44" spans="1:11" ht="15" customHeight="1">
      <c r="A44" s="243"/>
      <c r="B44" s="203"/>
      <c r="C44" s="244"/>
      <c r="D44" s="203"/>
      <c r="E44" s="203"/>
      <c r="F44" s="204"/>
      <c r="G44" s="205">
        <f t="shared" si="1"/>
        <v>0</v>
      </c>
      <c r="H44" s="203"/>
      <c r="I44" s="203"/>
      <c r="J44" s="203"/>
      <c r="K44" s="203"/>
    </row>
    <row r="45" spans="1:11" ht="15" customHeight="1">
      <c r="A45" s="243"/>
      <c r="B45" s="203"/>
      <c r="C45" s="244"/>
      <c r="D45" s="203"/>
      <c r="E45" s="203"/>
      <c r="F45" s="204"/>
      <c r="G45" s="205">
        <f t="shared" si="1"/>
        <v>0</v>
      </c>
      <c r="H45" s="203"/>
      <c r="I45" s="203"/>
      <c r="J45" s="203"/>
      <c r="K45" s="203"/>
    </row>
    <row r="46" spans="1:11" ht="15" customHeight="1">
      <c r="A46" s="243"/>
      <c r="B46" s="203"/>
      <c r="C46" s="244"/>
      <c r="D46" s="203"/>
      <c r="E46" s="203"/>
      <c r="F46" s="204"/>
      <c r="G46" s="205">
        <f t="shared" si="1"/>
        <v>0</v>
      </c>
      <c r="H46" s="203"/>
      <c r="I46" s="203"/>
      <c r="J46" s="203"/>
      <c r="K46" s="203"/>
    </row>
    <row r="47" spans="1:11" ht="15" customHeight="1">
      <c r="A47" s="243"/>
      <c r="B47" s="203"/>
      <c r="C47" s="244"/>
      <c r="D47" s="203"/>
      <c r="E47" s="203"/>
      <c r="F47" s="204"/>
      <c r="G47" s="205">
        <f t="shared" si="1"/>
        <v>0</v>
      </c>
      <c r="H47" s="203"/>
      <c r="I47" s="203"/>
      <c r="J47" s="203"/>
      <c r="K47" s="203"/>
    </row>
    <row r="48" spans="1:11" ht="15" customHeight="1">
      <c r="A48" s="243"/>
      <c r="B48" s="203"/>
      <c r="C48" s="244"/>
      <c r="D48" s="203"/>
      <c r="E48" s="203"/>
      <c r="F48" s="204"/>
      <c r="G48" s="205">
        <f t="shared" si="1"/>
        <v>0</v>
      </c>
      <c r="H48" s="203"/>
      <c r="I48" s="203"/>
      <c r="J48" s="203"/>
      <c r="K48" s="203"/>
    </row>
    <row r="49" spans="1:11" ht="15" customHeight="1">
      <c r="A49" s="206"/>
      <c r="B49" s="206"/>
      <c r="C49" s="206"/>
      <c r="D49" s="206">
        <f>SUM(D28:D48)</f>
        <v>0</v>
      </c>
      <c r="E49" s="206">
        <f t="shared" ref="E49:G49" si="2">SUM(E28:E48)</f>
        <v>0</v>
      </c>
      <c r="F49" s="206">
        <f t="shared" si="2"/>
        <v>0</v>
      </c>
      <c r="G49" s="206">
        <f t="shared" si="2"/>
        <v>0</v>
      </c>
      <c r="H49" s="206"/>
      <c r="I49" s="206"/>
      <c r="J49" s="206"/>
      <c r="K49" s="206"/>
    </row>
    <row r="50" spans="1:11" ht="15" customHeight="1">
      <c r="A50" s="207"/>
      <c r="B50" s="207"/>
      <c r="C50" s="207"/>
      <c r="D50" s="207"/>
      <c r="E50" s="207"/>
      <c r="F50" s="207"/>
      <c r="G50" s="207"/>
      <c r="H50" s="207"/>
      <c r="I50" s="207"/>
      <c r="J50" s="207"/>
      <c r="K50" s="207"/>
    </row>
    <row r="51" spans="1:11" ht="15" customHeight="1">
      <c r="A51" s="440" t="s">
        <v>1339</v>
      </c>
      <c r="B51" s="441"/>
      <c r="C51" s="441"/>
      <c r="D51" s="441"/>
      <c r="E51" s="441"/>
      <c r="F51" s="441"/>
      <c r="G51" s="441"/>
      <c r="H51" s="441"/>
      <c r="I51" s="441"/>
      <c r="J51" s="441"/>
      <c r="K51" s="441"/>
    </row>
    <row r="52" spans="1:11" ht="15" customHeight="1">
      <c r="A52" s="198" t="s">
        <v>93</v>
      </c>
      <c r="B52" s="198" t="s">
        <v>109</v>
      </c>
      <c r="C52" s="198" t="s">
        <v>110</v>
      </c>
      <c r="D52" s="198" t="s">
        <v>94</v>
      </c>
      <c r="E52" s="198" t="s">
        <v>30</v>
      </c>
      <c r="F52" s="198" t="s">
        <v>4</v>
      </c>
      <c r="G52" s="199" t="s">
        <v>7</v>
      </c>
      <c r="H52" s="198" t="s">
        <v>111</v>
      </c>
      <c r="I52" s="198" t="s">
        <v>112</v>
      </c>
      <c r="J52" s="198" t="s">
        <v>113</v>
      </c>
      <c r="K52" s="198" t="s">
        <v>114</v>
      </c>
    </row>
    <row r="53" spans="1:11" ht="15" customHeight="1">
      <c r="A53" s="243"/>
      <c r="B53" s="203"/>
      <c r="C53" s="244"/>
      <c r="D53" s="203"/>
      <c r="E53" s="203"/>
      <c r="F53" s="204"/>
      <c r="G53" s="205">
        <f>SUM(E53+F53)</f>
        <v>0</v>
      </c>
      <c r="H53" s="203"/>
      <c r="I53" s="203"/>
      <c r="J53" s="203"/>
      <c r="K53" s="203"/>
    </row>
    <row r="54" spans="1:11" ht="15" customHeight="1">
      <c r="A54" s="243"/>
      <c r="B54" s="203"/>
      <c r="C54" s="244"/>
      <c r="D54" s="203"/>
      <c r="E54" s="203"/>
      <c r="F54" s="204"/>
      <c r="G54" s="205">
        <f t="shared" ref="G54:G73" si="3">SUM(E54+F54)</f>
        <v>0</v>
      </c>
      <c r="H54" s="203"/>
      <c r="I54" s="203"/>
      <c r="J54" s="203"/>
      <c r="K54" s="203"/>
    </row>
    <row r="55" spans="1:11" ht="15" customHeight="1">
      <c r="A55" s="243"/>
      <c r="B55" s="203"/>
      <c r="C55" s="244"/>
      <c r="D55" s="203"/>
      <c r="E55" s="203"/>
      <c r="F55" s="204"/>
      <c r="G55" s="205">
        <f t="shared" si="3"/>
        <v>0</v>
      </c>
      <c r="H55" s="203"/>
      <c r="I55" s="203"/>
      <c r="J55" s="203"/>
      <c r="K55" s="203"/>
    </row>
    <row r="56" spans="1:11" ht="15" customHeight="1">
      <c r="A56" s="243"/>
      <c r="B56" s="203"/>
      <c r="C56" s="244"/>
      <c r="D56" s="203"/>
      <c r="E56" s="203"/>
      <c r="F56" s="204"/>
      <c r="G56" s="205">
        <f t="shared" si="3"/>
        <v>0</v>
      </c>
      <c r="H56" s="203"/>
      <c r="I56" s="203"/>
      <c r="J56" s="203"/>
      <c r="K56" s="203"/>
    </row>
    <row r="57" spans="1:11" ht="15" customHeight="1">
      <c r="A57" s="243"/>
      <c r="B57" s="203"/>
      <c r="C57" s="244"/>
      <c r="D57" s="203"/>
      <c r="E57" s="203"/>
      <c r="F57" s="204"/>
      <c r="G57" s="205">
        <f t="shared" si="3"/>
        <v>0</v>
      </c>
      <c r="H57" s="203"/>
      <c r="I57" s="203"/>
      <c r="J57" s="203"/>
      <c r="K57" s="203"/>
    </row>
    <row r="58" spans="1:11" ht="15" customHeight="1">
      <c r="A58" s="243"/>
      <c r="B58" s="203"/>
      <c r="C58" s="244"/>
      <c r="D58" s="203"/>
      <c r="E58" s="203"/>
      <c r="F58" s="204"/>
      <c r="G58" s="205">
        <f t="shared" si="3"/>
        <v>0</v>
      </c>
      <c r="H58" s="203"/>
      <c r="I58" s="203"/>
      <c r="J58" s="203"/>
      <c r="K58" s="203"/>
    </row>
    <row r="59" spans="1:11" ht="15" customHeight="1">
      <c r="A59" s="243"/>
      <c r="B59" s="203"/>
      <c r="C59" s="244"/>
      <c r="D59" s="203"/>
      <c r="E59" s="203"/>
      <c r="F59" s="204"/>
      <c r="G59" s="205">
        <f t="shared" si="3"/>
        <v>0</v>
      </c>
      <c r="H59" s="203"/>
      <c r="I59" s="203"/>
      <c r="J59" s="203"/>
      <c r="K59" s="203"/>
    </row>
    <row r="60" spans="1:11" ht="15" customHeight="1">
      <c r="A60" s="243"/>
      <c r="B60" s="203"/>
      <c r="C60" s="244"/>
      <c r="D60" s="203"/>
      <c r="E60" s="203"/>
      <c r="F60" s="204"/>
      <c r="G60" s="205">
        <f t="shared" si="3"/>
        <v>0</v>
      </c>
      <c r="H60" s="203"/>
      <c r="I60" s="203"/>
      <c r="J60" s="203"/>
      <c r="K60" s="203"/>
    </row>
    <row r="61" spans="1:11" ht="15" customHeight="1">
      <c r="A61" s="243"/>
      <c r="B61" s="203"/>
      <c r="C61" s="244"/>
      <c r="D61" s="203"/>
      <c r="E61" s="203"/>
      <c r="F61" s="204"/>
      <c r="G61" s="205">
        <f t="shared" si="3"/>
        <v>0</v>
      </c>
      <c r="H61" s="203"/>
      <c r="I61" s="203"/>
      <c r="J61" s="203"/>
      <c r="K61" s="203"/>
    </row>
    <row r="62" spans="1:11" ht="15" customHeight="1">
      <c r="A62" s="243"/>
      <c r="B62" s="203"/>
      <c r="C62" s="244"/>
      <c r="D62" s="203"/>
      <c r="E62" s="203"/>
      <c r="F62" s="204"/>
      <c r="G62" s="205">
        <f t="shared" si="3"/>
        <v>0</v>
      </c>
      <c r="H62" s="203"/>
      <c r="I62" s="203"/>
      <c r="J62" s="203"/>
      <c r="K62" s="203"/>
    </row>
    <row r="63" spans="1:11" ht="15" customHeight="1">
      <c r="A63" s="243"/>
      <c r="B63" s="203"/>
      <c r="C63" s="244"/>
      <c r="D63" s="203"/>
      <c r="E63" s="203"/>
      <c r="F63" s="204"/>
      <c r="G63" s="205">
        <f t="shared" si="3"/>
        <v>0</v>
      </c>
      <c r="H63" s="203"/>
      <c r="I63" s="203"/>
      <c r="J63" s="203"/>
      <c r="K63" s="203"/>
    </row>
    <row r="64" spans="1:11" ht="15" customHeight="1">
      <c r="A64" s="243"/>
      <c r="B64" s="203"/>
      <c r="C64" s="244"/>
      <c r="D64" s="203"/>
      <c r="E64" s="203"/>
      <c r="F64" s="204"/>
      <c r="G64" s="205">
        <f t="shared" si="3"/>
        <v>0</v>
      </c>
      <c r="H64" s="203"/>
      <c r="I64" s="203"/>
      <c r="J64" s="203"/>
      <c r="K64" s="203"/>
    </row>
    <row r="65" spans="1:11" ht="15" customHeight="1">
      <c r="A65" s="243"/>
      <c r="B65" s="203"/>
      <c r="C65" s="244"/>
      <c r="D65" s="203"/>
      <c r="E65" s="203"/>
      <c r="F65" s="204"/>
      <c r="G65" s="205">
        <f t="shared" si="3"/>
        <v>0</v>
      </c>
      <c r="H65" s="203"/>
      <c r="I65" s="203"/>
      <c r="J65" s="203"/>
      <c r="K65" s="203"/>
    </row>
    <row r="66" spans="1:11" ht="15" customHeight="1">
      <c r="A66" s="243"/>
      <c r="B66" s="203"/>
      <c r="C66" s="244"/>
      <c r="D66" s="203"/>
      <c r="E66" s="203"/>
      <c r="F66" s="204"/>
      <c r="G66" s="205">
        <f t="shared" si="3"/>
        <v>0</v>
      </c>
      <c r="H66" s="203"/>
      <c r="I66" s="203"/>
      <c r="J66" s="203"/>
      <c r="K66" s="203"/>
    </row>
    <row r="67" spans="1:11" ht="15" customHeight="1">
      <c r="A67" s="243"/>
      <c r="B67" s="203"/>
      <c r="C67" s="244"/>
      <c r="D67" s="203"/>
      <c r="E67" s="203"/>
      <c r="F67" s="204"/>
      <c r="G67" s="205">
        <f t="shared" si="3"/>
        <v>0</v>
      </c>
      <c r="H67" s="203"/>
      <c r="I67" s="203"/>
      <c r="J67" s="203"/>
      <c r="K67" s="203"/>
    </row>
    <row r="68" spans="1:11" ht="15" customHeight="1">
      <c r="A68" s="243"/>
      <c r="B68" s="203"/>
      <c r="C68" s="244"/>
      <c r="D68" s="203"/>
      <c r="E68" s="203"/>
      <c r="F68" s="204"/>
      <c r="G68" s="205">
        <f t="shared" si="3"/>
        <v>0</v>
      </c>
      <c r="H68" s="203"/>
      <c r="I68" s="203"/>
      <c r="J68" s="203"/>
      <c r="K68" s="203"/>
    </row>
    <row r="69" spans="1:11" ht="15" customHeight="1">
      <c r="A69" s="243"/>
      <c r="B69" s="203"/>
      <c r="C69" s="244"/>
      <c r="D69" s="203"/>
      <c r="E69" s="203"/>
      <c r="F69" s="204"/>
      <c r="G69" s="205">
        <f t="shared" si="3"/>
        <v>0</v>
      </c>
      <c r="H69" s="203"/>
      <c r="I69" s="203"/>
      <c r="J69" s="203"/>
      <c r="K69" s="203"/>
    </row>
    <row r="70" spans="1:11" ht="16.5" customHeight="1">
      <c r="A70" s="243"/>
      <c r="B70" s="203"/>
      <c r="C70" s="244"/>
      <c r="D70" s="203"/>
      <c r="E70" s="203"/>
      <c r="F70" s="204"/>
      <c r="G70" s="205">
        <f t="shared" si="3"/>
        <v>0</v>
      </c>
      <c r="H70" s="203"/>
      <c r="I70" s="203"/>
      <c r="J70" s="203"/>
      <c r="K70" s="203"/>
    </row>
    <row r="71" spans="1:11" ht="16.5" customHeight="1">
      <c r="A71" s="243"/>
      <c r="B71" s="203"/>
      <c r="C71" s="244"/>
      <c r="D71" s="203"/>
      <c r="E71" s="203"/>
      <c r="F71" s="204"/>
      <c r="G71" s="205">
        <f t="shared" si="3"/>
        <v>0</v>
      </c>
      <c r="H71" s="203"/>
      <c r="I71" s="203"/>
      <c r="J71" s="203"/>
      <c r="K71" s="203"/>
    </row>
    <row r="72" spans="1:11" ht="16.5" customHeight="1">
      <c r="A72" s="243"/>
      <c r="B72" s="203"/>
      <c r="C72" s="244"/>
      <c r="D72" s="203"/>
      <c r="E72" s="203"/>
      <c r="F72" s="204"/>
      <c r="G72" s="205">
        <f t="shared" si="3"/>
        <v>0</v>
      </c>
      <c r="H72" s="203"/>
      <c r="I72" s="203"/>
      <c r="J72" s="203"/>
      <c r="K72" s="203"/>
    </row>
    <row r="73" spans="1:11" ht="16.5" customHeight="1">
      <c r="A73" s="243"/>
      <c r="B73" s="203"/>
      <c r="C73" s="244"/>
      <c r="D73" s="203"/>
      <c r="E73" s="203"/>
      <c r="F73" s="204"/>
      <c r="G73" s="205">
        <f t="shared" si="3"/>
        <v>0</v>
      </c>
      <c r="H73" s="203"/>
      <c r="I73" s="203"/>
      <c r="J73" s="203"/>
      <c r="K73" s="203"/>
    </row>
    <row r="74" spans="1:11" ht="16.5" customHeight="1">
      <c r="A74" s="206"/>
      <c r="B74" s="206"/>
      <c r="C74" s="206"/>
      <c r="D74" s="206">
        <f>SUM(D53:D73)</f>
        <v>0</v>
      </c>
      <c r="E74" s="206">
        <f t="shared" ref="E74:G74" si="4">SUM(E53:E73)</f>
        <v>0</v>
      </c>
      <c r="F74" s="206">
        <f t="shared" si="4"/>
        <v>0</v>
      </c>
      <c r="G74" s="206">
        <f t="shared" si="4"/>
        <v>0</v>
      </c>
      <c r="H74" s="206"/>
      <c r="I74" s="206"/>
      <c r="J74" s="206"/>
      <c r="K74" s="206"/>
    </row>
    <row r="75" spans="1:11" ht="15" customHeight="1">
      <c r="A75" s="207"/>
      <c r="B75" s="207"/>
      <c r="C75" s="207"/>
      <c r="D75" s="207"/>
      <c r="E75" s="207"/>
      <c r="F75" s="207"/>
      <c r="G75" s="207"/>
      <c r="H75" s="207"/>
      <c r="I75" s="207"/>
      <c r="J75" s="207"/>
      <c r="K75" s="207"/>
    </row>
    <row r="76" spans="1:11" ht="15" customHeight="1">
      <c r="A76" s="440" t="s">
        <v>115</v>
      </c>
      <c r="B76" s="441"/>
      <c r="C76" s="441"/>
      <c r="D76" s="441"/>
      <c r="E76" s="441"/>
      <c r="F76" s="441"/>
      <c r="G76" s="441"/>
      <c r="H76" s="441"/>
      <c r="I76" s="441"/>
      <c r="J76" s="441"/>
      <c r="K76" s="441"/>
    </row>
    <row r="77" spans="1:11" ht="15" customHeight="1">
      <c r="A77" s="198" t="s">
        <v>93</v>
      </c>
      <c r="B77" s="198" t="s">
        <v>109</v>
      </c>
      <c r="C77" s="198" t="s">
        <v>110</v>
      </c>
      <c r="D77" s="198" t="s">
        <v>94</v>
      </c>
      <c r="E77" s="198" t="s">
        <v>30</v>
      </c>
      <c r="F77" s="198" t="s">
        <v>4</v>
      </c>
      <c r="G77" s="199" t="s">
        <v>7</v>
      </c>
      <c r="H77" s="198" t="s">
        <v>111</v>
      </c>
      <c r="I77" s="198" t="s">
        <v>112</v>
      </c>
      <c r="J77" s="198" t="s">
        <v>113</v>
      </c>
      <c r="K77" s="198" t="s">
        <v>114</v>
      </c>
    </row>
    <row r="78" spans="1:11" ht="15" customHeight="1">
      <c r="A78" s="243"/>
      <c r="B78" s="203"/>
      <c r="C78" s="244"/>
      <c r="D78" s="203"/>
      <c r="E78" s="203"/>
      <c r="F78" s="204"/>
      <c r="G78" s="205">
        <f t="shared" ref="G78:G98" si="5">SUM(E78+F78)</f>
        <v>0</v>
      </c>
      <c r="H78" s="203"/>
      <c r="I78" s="203"/>
      <c r="J78" s="203"/>
      <c r="K78" s="203"/>
    </row>
    <row r="79" spans="1:11" ht="15" customHeight="1">
      <c r="A79" s="243"/>
      <c r="B79" s="203"/>
      <c r="C79" s="244"/>
      <c r="D79" s="203"/>
      <c r="E79" s="203"/>
      <c r="F79" s="204"/>
      <c r="G79" s="205">
        <f t="shared" si="5"/>
        <v>0</v>
      </c>
      <c r="H79" s="203"/>
      <c r="I79" s="203"/>
      <c r="J79" s="203"/>
      <c r="K79" s="203"/>
    </row>
    <row r="80" spans="1:11" ht="15" customHeight="1">
      <c r="A80" s="243"/>
      <c r="B80" s="203"/>
      <c r="C80" s="244"/>
      <c r="D80" s="203"/>
      <c r="E80" s="203"/>
      <c r="F80" s="204"/>
      <c r="G80" s="205">
        <f t="shared" si="5"/>
        <v>0</v>
      </c>
      <c r="H80" s="203"/>
      <c r="I80" s="203"/>
      <c r="J80" s="203"/>
      <c r="K80" s="203"/>
    </row>
    <row r="81" spans="1:11" ht="15" customHeight="1">
      <c r="A81" s="243"/>
      <c r="B81" s="203"/>
      <c r="C81" s="244"/>
      <c r="D81" s="203"/>
      <c r="E81" s="203"/>
      <c r="F81" s="204"/>
      <c r="G81" s="205">
        <f t="shared" si="5"/>
        <v>0</v>
      </c>
      <c r="H81" s="203"/>
      <c r="I81" s="203"/>
      <c r="J81" s="203"/>
      <c r="K81" s="203"/>
    </row>
    <row r="82" spans="1:11" ht="15" customHeight="1">
      <c r="A82" s="243"/>
      <c r="B82" s="203"/>
      <c r="C82" s="244"/>
      <c r="D82" s="203"/>
      <c r="E82" s="203"/>
      <c r="F82" s="204"/>
      <c r="G82" s="205">
        <f t="shared" si="5"/>
        <v>0</v>
      </c>
      <c r="H82" s="203"/>
      <c r="I82" s="203"/>
      <c r="J82" s="203"/>
      <c r="K82" s="203"/>
    </row>
    <row r="83" spans="1:11" ht="15" customHeight="1">
      <c r="A83" s="243"/>
      <c r="B83" s="203"/>
      <c r="C83" s="244"/>
      <c r="D83" s="203"/>
      <c r="E83" s="203"/>
      <c r="F83" s="204"/>
      <c r="G83" s="205">
        <f t="shared" si="5"/>
        <v>0</v>
      </c>
      <c r="H83" s="203"/>
      <c r="I83" s="203"/>
      <c r="J83" s="203"/>
      <c r="K83" s="203"/>
    </row>
    <row r="84" spans="1:11" ht="15" customHeight="1">
      <c r="A84" s="243"/>
      <c r="B84" s="203"/>
      <c r="C84" s="244"/>
      <c r="D84" s="203"/>
      <c r="E84" s="203"/>
      <c r="F84" s="204"/>
      <c r="G84" s="205">
        <f t="shared" si="5"/>
        <v>0</v>
      </c>
      <c r="H84" s="203"/>
      <c r="I84" s="203"/>
      <c r="J84" s="203"/>
      <c r="K84" s="203"/>
    </row>
    <row r="85" spans="1:11" ht="15" customHeight="1">
      <c r="A85" s="243"/>
      <c r="B85" s="203"/>
      <c r="C85" s="244"/>
      <c r="D85" s="203"/>
      <c r="E85" s="203"/>
      <c r="F85" s="204"/>
      <c r="G85" s="205">
        <f t="shared" si="5"/>
        <v>0</v>
      </c>
      <c r="H85" s="203"/>
      <c r="I85" s="203"/>
      <c r="J85" s="203"/>
      <c r="K85" s="203"/>
    </row>
    <row r="86" spans="1:11" ht="15" customHeight="1">
      <c r="A86" s="243"/>
      <c r="B86" s="203"/>
      <c r="C86" s="244"/>
      <c r="D86" s="203"/>
      <c r="E86" s="203"/>
      <c r="F86" s="204"/>
      <c r="G86" s="205">
        <f t="shared" si="5"/>
        <v>0</v>
      </c>
      <c r="H86" s="203"/>
      <c r="I86" s="203"/>
      <c r="J86" s="203"/>
      <c r="K86" s="203"/>
    </row>
    <row r="87" spans="1:11" ht="15" customHeight="1">
      <c r="A87" s="243"/>
      <c r="B87" s="203"/>
      <c r="C87" s="244"/>
      <c r="D87" s="203"/>
      <c r="E87" s="203"/>
      <c r="F87" s="204"/>
      <c r="G87" s="205">
        <f t="shared" si="5"/>
        <v>0</v>
      </c>
      <c r="H87" s="203"/>
      <c r="I87" s="203"/>
      <c r="J87" s="203"/>
      <c r="K87" s="203"/>
    </row>
    <row r="88" spans="1:11" ht="15" customHeight="1">
      <c r="A88" s="243"/>
      <c r="B88" s="203"/>
      <c r="C88" s="244"/>
      <c r="D88" s="203"/>
      <c r="E88" s="203"/>
      <c r="F88" s="204"/>
      <c r="G88" s="205">
        <f t="shared" si="5"/>
        <v>0</v>
      </c>
      <c r="H88" s="203"/>
      <c r="I88" s="203"/>
      <c r="J88" s="203"/>
      <c r="K88" s="203"/>
    </row>
    <row r="89" spans="1:11" ht="15" customHeight="1">
      <c r="A89" s="243"/>
      <c r="B89" s="203"/>
      <c r="C89" s="244"/>
      <c r="D89" s="203"/>
      <c r="E89" s="203"/>
      <c r="F89" s="204"/>
      <c r="G89" s="205">
        <f t="shared" si="5"/>
        <v>0</v>
      </c>
      <c r="H89" s="203"/>
      <c r="I89" s="203"/>
      <c r="J89" s="203"/>
      <c r="K89" s="203"/>
    </row>
    <row r="90" spans="1:11" ht="15" customHeight="1">
      <c r="A90" s="243"/>
      <c r="B90" s="203"/>
      <c r="C90" s="244"/>
      <c r="D90" s="203"/>
      <c r="E90" s="203"/>
      <c r="F90" s="204"/>
      <c r="G90" s="205">
        <f t="shared" si="5"/>
        <v>0</v>
      </c>
      <c r="H90" s="203"/>
      <c r="I90" s="203"/>
      <c r="J90" s="203"/>
      <c r="K90" s="203"/>
    </row>
    <row r="91" spans="1:11" ht="15" customHeight="1">
      <c r="A91" s="243"/>
      <c r="B91" s="203"/>
      <c r="C91" s="244"/>
      <c r="D91" s="203"/>
      <c r="E91" s="203"/>
      <c r="F91" s="204"/>
      <c r="G91" s="205">
        <f t="shared" si="5"/>
        <v>0</v>
      </c>
      <c r="H91" s="203"/>
      <c r="I91" s="203"/>
      <c r="J91" s="203"/>
      <c r="K91" s="203"/>
    </row>
    <row r="92" spans="1:11" ht="15" customHeight="1">
      <c r="A92" s="243"/>
      <c r="B92" s="203"/>
      <c r="C92" s="244"/>
      <c r="D92" s="203"/>
      <c r="E92" s="203"/>
      <c r="F92" s="204"/>
      <c r="G92" s="205">
        <f t="shared" si="5"/>
        <v>0</v>
      </c>
      <c r="H92" s="203"/>
      <c r="I92" s="203"/>
      <c r="J92" s="203"/>
      <c r="K92" s="203"/>
    </row>
    <row r="93" spans="1:11" ht="15" customHeight="1">
      <c r="A93" s="243"/>
      <c r="B93" s="203"/>
      <c r="C93" s="244"/>
      <c r="D93" s="203"/>
      <c r="E93" s="203"/>
      <c r="F93" s="204"/>
      <c r="G93" s="205">
        <f t="shared" si="5"/>
        <v>0</v>
      </c>
      <c r="H93" s="203"/>
      <c r="I93" s="203"/>
      <c r="J93" s="203"/>
      <c r="K93" s="203"/>
    </row>
    <row r="94" spans="1:11" ht="15" customHeight="1">
      <c r="A94" s="243"/>
      <c r="B94" s="203"/>
      <c r="C94" s="244"/>
      <c r="D94" s="203"/>
      <c r="E94" s="203"/>
      <c r="F94" s="204"/>
      <c r="G94" s="205">
        <f t="shared" si="5"/>
        <v>0</v>
      </c>
      <c r="H94" s="203"/>
      <c r="I94" s="203"/>
      <c r="J94" s="203"/>
      <c r="K94" s="203"/>
    </row>
    <row r="95" spans="1:11" ht="15" customHeight="1">
      <c r="A95" s="243"/>
      <c r="B95" s="203"/>
      <c r="C95" s="244"/>
      <c r="D95" s="203"/>
      <c r="E95" s="203"/>
      <c r="F95" s="204"/>
      <c r="G95" s="205">
        <f t="shared" si="5"/>
        <v>0</v>
      </c>
      <c r="H95" s="203"/>
      <c r="I95" s="203"/>
      <c r="J95" s="203"/>
      <c r="K95" s="203"/>
    </row>
    <row r="96" spans="1:11" ht="15" customHeight="1">
      <c r="A96" s="243"/>
      <c r="B96" s="203"/>
      <c r="C96" s="244"/>
      <c r="D96" s="203"/>
      <c r="E96" s="203"/>
      <c r="F96" s="204"/>
      <c r="G96" s="205">
        <f t="shared" si="5"/>
        <v>0</v>
      </c>
      <c r="H96" s="203"/>
      <c r="I96" s="203"/>
      <c r="J96" s="203"/>
      <c r="K96" s="203"/>
    </row>
    <row r="97" spans="1:11" ht="15" customHeight="1">
      <c r="A97" s="243"/>
      <c r="B97" s="203"/>
      <c r="C97" s="244"/>
      <c r="D97" s="203"/>
      <c r="E97" s="203"/>
      <c r="F97" s="204"/>
      <c r="G97" s="205">
        <f t="shared" si="5"/>
        <v>0</v>
      </c>
      <c r="H97" s="203"/>
      <c r="I97" s="203"/>
      <c r="J97" s="203"/>
      <c r="K97" s="203"/>
    </row>
    <row r="98" spans="1:11" ht="15" customHeight="1">
      <c r="A98" s="243"/>
      <c r="B98" s="203"/>
      <c r="C98" s="244"/>
      <c r="D98" s="203"/>
      <c r="E98" s="203"/>
      <c r="F98" s="204"/>
      <c r="G98" s="205">
        <f t="shared" si="5"/>
        <v>0</v>
      </c>
      <c r="H98" s="203"/>
      <c r="I98" s="203"/>
      <c r="J98" s="203"/>
      <c r="K98" s="203"/>
    </row>
    <row r="99" spans="1:11" ht="15" customHeight="1">
      <c r="A99" s="206"/>
      <c r="B99" s="206"/>
      <c r="C99" s="206"/>
      <c r="D99" s="206">
        <f>SUM(D78:D98)</f>
        <v>0</v>
      </c>
      <c r="E99" s="206">
        <f t="shared" ref="E99:G99" si="6">SUM(E78:E98)</f>
        <v>0</v>
      </c>
      <c r="F99" s="206">
        <f t="shared" si="6"/>
        <v>0</v>
      </c>
      <c r="G99" s="206">
        <f t="shared" si="6"/>
        <v>0</v>
      </c>
      <c r="H99" s="206"/>
      <c r="I99" s="206"/>
      <c r="J99" s="206"/>
      <c r="K99" s="206"/>
    </row>
    <row r="100" spans="1:11" ht="15" customHeight="1">
      <c r="A100" s="207"/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</row>
    <row r="101" spans="1:11" ht="15" customHeight="1">
      <c r="A101" s="440" t="s">
        <v>116</v>
      </c>
      <c r="B101" s="441"/>
      <c r="C101" s="441"/>
      <c r="D101" s="441"/>
      <c r="E101" s="441"/>
      <c r="F101" s="441"/>
      <c r="G101" s="441"/>
      <c r="H101" s="441"/>
      <c r="I101" s="441"/>
      <c r="J101" s="441"/>
      <c r="K101" s="441"/>
    </row>
    <row r="102" spans="1:11" ht="15" customHeight="1">
      <c r="A102" s="198" t="s">
        <v>93</v>
      </c>
      <c r="B102" s="198" t="s">
        <v>109</v>
      </c>
      <c r="C102" s="198" t="s">
        <v>110</v>
      </c>
      <c r="D102" s="198" t="s">
        <v>94</v>
      </c>
      <c r="E102" s="198" t="s">
        <v>30</v>
      </c>
      <c r="F102" s="198" t="s">
        <v>4</v>
      </c>
      <c r="G102" s="199" t="s">
        <v>7</v>
      </c>
      <c r="H102" s="198" t="s">
        <v>111</v>
      </c>
      <c r="I102" s="198" t="s">
        <v>112</v>
      </c>
      <c r="J102" s="198" t="s">
        <v>113</v>
      </c>
      <c r="K102" s="198" t="s">
        <v>114</v>
      </c>
    </row>
    <row r="103" spans="1:11" ht="15" customHeight="1">
      <c r="A103" s="243"/>
      <c r="B103" s="203"/>
      <c r="C103" s="244"/>
      <c r="D103" s="203"/>
      <c r="E103" s="203"/>
      <c r="F103" s="204"/>
      <c r="G103" s="205">
        <f t="shared" ref="G103:G123" si="7">SUM(E103+F103)</f>
        <v>0</v>
      </c>
      <c r="H103" s="203"/>
      <c r="I103" s="203"/>
      <c r="J103" s="203"/>
      <c r="K103" s="203"/>
    </row>
    <row r="104" spans="1:11" ht="15" customHeight="1">
      <c r="A104" s="243"/>
      <c r="B104" s="203"/>
      <c r="C104" s="244"/>
      <c r="D104" s="203"/>
      <c r="E104" s="203"/>
      <c r="F104" s="204"/>
      <c r="G104" s="205">
        <f t="shared" si="7"/>
        <v>0</v>
      </c>
      <c r="H104" s="203"/>
      <c r="I104" s="203"/>
      <c r="J104" s="203"/>
      <c r="K104" s="203"/>
    </row>
    <row r="105" spans="1:11" ht="15" customHeight="1">
      <c r="A105" s="243"/>
      <c r="B105" s="203"/>
      <c r="C105" s="244"/>
      <c r="D105" s="203"/>
      <c r="E105" s="203"/>
      <c r="F105" s="204"/>
      <c r="G105" s="205">
        <f t="shared" si="7"/>
        <v>0</v>
      </c>
      <c r="H105" s="203"/>
      <c r="I105" s="203"/>
      <c r="J105" s="203"/>
      <c r="K105" s="203"/>
    </row>
    <row r="106" spans="1:11" ht="15" customHeight="1">
      <c r="A106" s="243"/>
      <c r="B106" s="203"/>
      <c r="C106" s="244"/>
      <c r="D106" s="203"/>
      <c r="E106" s="203"/>
      <c r="F106" s="204"/>
      <c r="G106" s="205">
        <f t="shared" si="7"/>
        <v>0</v>
      </c>
      <c r="H106" s="203"/>
      <c r="I106" s="203"/>
      <c r="J106" s="203"/>
      <c r="K106" s="203"/>
    </row>
    <row r="107" spans="1:11" ht="15" customHeight="1">
      <c r="A107" s="243"/>
      <c r="B107" s="203"/>
      <c r="C107" s="244"/>
      <c r="D107" s="203"/>
      <c r="E107" s="203"/>
      <c r="F107" s="204"/>
      <c r="G107" s="205">
        <f t="shared" si="7"/>
        <v>0</v>
      </c>
      <c r="H107" s="203"/>
      <c r="I107" s="203"/>
      <c r="J107" s="203"/>
      <c r="K107" s="203"/>
    </row>
    <row r="108" spans="1:11" ht="15" customHeight="1">
      <c r="A108" s="243"/>
      <c r="B108" s="203"/>
      <c r="C108" s="244"/>
      <c r="D108" s="203"/>
      <c r="E108" s="203"/>
      <c r="F108" s="204"/>
      <c r="G108" s="205">
        <f t="shared" si="7"/>
        <v>0</v>
      </c>
      <c r="H108" s="203"/>
      <c r="I108" s="203"/>
      <c r="J108" s="203"/>
      <c r="K108" s="203"/>
    </row>
    <row r="109" spans="1:11" ht="15" customHeight="1">
      <c r="A109" s="243"/>
      <c r="B109" s="203"/>
      <c r="C109" s="244"/>
      <c r="D109" s="203"/>
      <c r="E109" s="203"/>
      <c r="F109" s="204"/>
      <c r="G109" s="205">
        <f t="shared" si="7"/>
        <v>0</v>
      </c>
      <c r="H109" s="203"/>
      <c r="I109" s="203"/>
      <c r="J109" s="203"/>
      <c r="K109" s="203"/>
    </row>
    <row r="110" spans="1:11" ht="15" customHeight="1">
      <c r="A110" s="243"/>
      <c r="B110" s="203"/>
      <c r="C110" s="244"/>
      <c r="D110" s="203"/>
      <c r="E110" s="203"/>
      <c r="F110" s="204"/>
      <c r="G110" s="205">
        <f t="shared" si="7"/>
        <v>0</v>
      </c>
      <c r="H110" s="203"/>
      <c r="I110" s="203"/>
      <c r="J110" s="203"/>
      <c r="K110" s="203"/>
    </row>
    <row r="111" spans="1:11" ht="15" customHeight="1">
      <c r="A111" s="243"/>
      <c r="B111" s="203"/>
      <c r="C111" s="244"/>
      <c r="D111" s="203"/>
      <c r="E111" s="203"/>
      <c r="F111" s="204"/>
      <c r="G111" s="205">
        <f t="shared" si="7"/>
        <v>0</v>
      </c>
      <c r="H111" s="203"/>
      <c r="I111" s="203"/>
      <c r="J111" s="203"/>
      <c r="K111" s="203"/>
    </row>
    <row r="112" spans="1:11" ht="15" customHeight="1">
      <c r="A112" s="243"/>
      <c r="B112" s="203"/>
      <c r="C112" s="244"/>
      <c r="D112" s="203"/>
      <c r="E112" s="203"/>
      <c r="F112" s="204"/>
      <c r="G112" s="205">
        <f t="shared" si="7"/>
        <v>0</v>
      </c>
      <c r="H112" s="203"/>
      <c r="I112" s="203"/>
      <c r="J112" s="203"/>
      <c r="K112" s="203"/>
    </row>
    <row r="113" spans="1:11" ht="15" customHeight="1">
      <c r="A113" s="243"/>
      <c r="B113" s="203"/>
      <c r="C113" s="244"/>
      <c r="D113" s="203"/>
      <c r="E113" s="203"/>
      <c r="F113" s="204"/>
      <c r="G113" s="205">
        <f t="shared" si="7"/>
        <v>0</v>
      </c>
      <c r="H113" s="203"/>
      <c r="I113" s="203"/>
      <c r="J113" s="203"/>
      <c r="K113" s="203"/>
    </row>
    <row r="114" spans="1:11" ht="15" customHeight="1">
      <c r="A114" s="243"/>
      <c r="B114" s="203"/>
      <c r="C114" s="244"/>
      <c r="D114" s="203"/>
      <c r="E114" s="203"/>
      <c r="F114" s="204"/>
      <c r="G114" s="205">
        <f t="shared" si="7"/>
        <v>0</v>
      </c>
      <c r="H114" s="203"/>
      <c r="I114" s="203"/>
      <c r="J114" s="203"/>
      <c r="K114" s="203"/>
    </row>
    <row r="115" spans="1:11" ht="15" customHeight="1">
      <c r="A115" s="243"/>
      <c r="B115" s="203"/>
      <c r="C115" s="244"/>
      <c r="D115" s="203"/>
      <c r="E115" s="203"/>
      <c r="F115" s="204"/>
      <c r="G115" s="205">
        <f t="shared" si="7"/>
        <v>0</v>
      </c>
      <c r="H115" s="203"/>
      <c r="I115" s="203"/>
      <c r="J115" s="203"/>
      <c r="K115" s="203"/>
    </row>
    <row r="116" spans="1:11" ht="15" customHeight="1">
      <c r="A116" s="243"/>
      <c r="B116" s="203"/>
      <c r="C116" s="244"/>
      <c r="D116" s="203"/>
      <c r="E116" s="203"/>
      <c r="F116" s="204"/>
      <c r="G116" s="205">
        <f t="shared" si="7"/>
        <v>0</v>
      </c>
      <c r="H116" s="203"/>
      <c r="I116" s="203"/>
      <c r="J116" s="203"/>
      <c r="K116" s="203"/>
    </row>
    <row r="117" spans="1:11" ht="15" customHeight="1">
      <c r="A117" s="243"/>
      <c r="B117" s="203"/>
      <c r="C117" s="244"/>
      <c r="D117" s="203"/>
      <c r="E117" s="203"/>
      <c r="F117" s="204"/>
      <c r="G117" s="205">
        <f t="shared" si="7"/>
        <v>0</v>
      </c>
      <c r="H117" s="203"/>
      <c r="I117" s="203"/>
      <c r="J117" s="203"/>
      <c r="K117" s="203"/>
    </row>
    <row r="118" spans="1:11" ht="15" customHeight="1">
      <c r="A118" s="243"/>
      <c r="B118" s="203"/>
      <c r="C118" s="244"/>
      <c r="D118" s="203"/>
      <c r="E118" s="203"/>
      <c r="F118" s="204"/>
      <c r="G118" s="205">
        <f t="shared" si="7"/>
        <v>0</v>
      </c>
      <c r="H118" s="203"/>
      <c r="I118" s="203"/>
      <c r="J118" s="203"/>
      <c r="K118" s="203"/>
    </row>
    <row r="119" spans="1:11" ht="15" customHeight="1">
      <c r="A119" s="243"/>
      <c r="B119" s="203"/>
      <c r="C119" s="244"/>
      <c r="D119" s="203"/>
      <c r="E119" s="203"/>
      <c r="F119" s="204"/>
      <c r="G119" s="205">
        <f t="shared" si="7"/>
        <v>0</v>
      </c>
      <c r="H119" s="203"/>
      <c r="I119" s="203"/>
      <c r="J119" s="203"/>
      <c r="K119" s="203"/>
    </row>
    <row r="120" spans="1:11" ht="15" customHeight="1">
      <c r="A120" s="243"/>
      <c r="B120" s="203"/>
      <c r="C120" s="244"/>
      <c r="D120" s="203"/>
      <c r="E120" s="203"/>
      <c r="F120" s="204"/>
      <c r="G120" s="205">
        <f t="shared" si="7"/>
        <v>0</v>
      </c>
      <c r="H120" s="203"/>
      <c r="I120" s="203"/>
      <c r="J120" s="203"/>
      <c r="K120" s="203"/>
    </row>
    <row r="121" spans="1:11" ht="15" customHeight="1">
      <c r="A121" s="243"/>
      <c r="B121" s="203"/>
      <c r="C121" s="244"/>
      <c r="D121" s="203"/>
      <c r="E121" s="203"/>
      <c r="F121" s="204"/>
      <c r="G121" s="205">
        <f t="shared" si="7"/>
        <v>0</v>
      </c>
      <c r="H121" s="203"/>
      <c r="I121" s="203"/>
      <c r="J121" s="203"/>
      <c r="K121" s="203"/>
    </row>
    <row r="122" spans="1:11" ht="15" customHeight="1">
      <c r="A122" s="243"/>
      <c r="B122" s="203"/>
      <c r="C122" s="244"/>
      <c r="D122" s="203"/>
      <c r="E122" s="203"/>
      <c r="F122" s="204"/>
      <c r="G122" s="205">
        <f t="shared" si="7"/>
        <v>0</v>
      </c>
      <c r="H122" s="203"/>
      <c r="I122" s="203"/>
      <c r="J122" s="203"/>
      <c r="K122" s="203"/>
    </row>
    <row r="123" spans="1:11" ht="15" customHeight="1">
      <c r="A123" s="243"/>
      <c r="B123" s="203"/>
      <c r="C123" s="244"/>
      <c r="D123" s="203"/>
      <c r="E123" s="203"/>
      <c r="F123" s="204"/>
      <c r="G123" s="205">
        <f t="shared" si="7"/>
        <v>0</v>
      </c>
      <c r="H123" s="203"/>
      <c r="I123" s="203"/>
      <c r="J123" s="203"/>
      <c r="K123" s="203"/>
    </row>
    <row r="124" spans="1:11" ht="15" customHeight="1">
      <c r="A124" s="206"/>
      <c r="B124" s="206"/>
      <c r="C124" s="206"/>
      <c r="D124" s="206">
        <f>SUM(D103:D123)</f>
        <v>0</v>
      </c>
      <c r="E124" s="206">
        <f t="shared" ref="E124:G124" si="8">SUM(E103:E123)</f>
        <v>0</v>
      </c>
      <c r="F124" s="206">
        <f t="shared" si="8"/>
        <v>0</v>
      </c>
      <c r="G124" s="206">
        <f t="shared" si="8"/>
        <v>0</v>
      </c>
      <c r="H124" s="206"/>
      <c r="I124" s="206"/>
      <c r="J124" s="206"/>
      <c r="K124" s="206"/>
    </row>
  </sheetData>
  <mergeCells count="5">
    <mergeCell ref="A51:K51"/>
    <mergeCell ref="A1:K1"/>
    <mergeCell ref="A26:K26"/>
    <mergeCell ref="A76:K76"/>
    <mergeCell ref="A101:K101"/>
  </mergeCells>
  <pageMargins left="0.98425196850393704" right="0.98425196850393704" top="0.98425196850393704" bottom="0.98425196850393704" header="0.51181102362204722" footer="0.51181102362204722"/>
  <pageSetup scale="60" fitToHeight="0" orientation="landscape" r:id="rId1"/>
  <headerFooter>
    <oddFooter>&amp;C&amp;"Helvetica Neue,Regular"&amp;12&amp;K000000&amp;P</oddFooter>
  </headerFooter>
  <rowBreaks count="1" manualBreakCount="1">
    <brk id="21" max="10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1F2C8F-B192-493E-8F6B-CBAF19E3C44B}">
          <x14:formula1>
            <xm:f>'PRODUCT LIST'!$A:$A</xm:f>
          </x14:formula1>
          <xm:sqref>C3:C20 C28:C48 C53:C73 C78:C98 C103:C123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  <pageSetUpPr fitToPage="1"/>
  </sheetPr>
  <dimension ref="A1:DCJ190"/>
  <sheetViews>
    <sheetView showGridLines="0" zoomScale="106" zoomScaleNormal="106" workbookViewId="0">
      <selection sqref="A1:G53"/>
    </sheetView>
  </sheetViews>
  <sheetFormatPr baseColWidth="10" defaultColWidth="11.5" defaultRowHeight="15" customHeight="1"/>
  <cols>
    <col min="1" max="1" width="11.5" style="124" customWidth="1"/>
    <col min="2" max="2" width="47.33203125" style="239" customWidth="1"/>
    <col min="3" max="3" width="9.1640625" style="124" customWidth="1"/>
    <col min="4" max="4" width="11" style="124" customWidth="1"/>
    <col min="5" max="5" width="9.83203125" style="124" customWidth="1"/>
    <col min="6" max="6" width="10.33203125" style="124" customWidth="1"/>
    <col min="7" max="7" width="22.33203125" style="342" customWidth="1"/>
    <col min="8" max="8" width="11.5" style="124" customWidth="1"/>
    <col min="9" max="9" width="21" style="124" customWidth="1"/>
    <col min="10" max="257" width="11.5" style="124" customWidth="1"/>
    <col min="258" max="16384" width="11.5" style="210"/>
  </cols>
  <sheetData>
    <row r="1" spans="1:2792" ht="16.5" customHeight="1">
      <c r="A1" s="448" t="s">
        <v>124</v>
      </c>
      <c r="B1" s="449"/>
      <c r="C1" s="449"/>
      <c r="D1" s="449"/>
      <c r="E1" s="449"/>
      <c r="F1" s="449"/>
      <c r="G1" s="449"/>
      <c r="H1" s="209"/>
      <c r="I1" s="64" t="s">
        <v>1344</v>
      </c>
      <c r="J1" s="209"/>
      <c r="K1" s="210"/>
      <c r="L1" s="210"/>
      <c r="M1" s="210"/>
      <c r="N1" s="210"/>
      <c r="O1" s="210"/>
      <c r="P1" s="210"/>
      <c r="Q1" s="211" t="s">
        <v>125</v>
      </c>
    </row>
    <row r="2" spans="1:2792" ht="16.5" customHeight="1">
      <c r="A2" s="450" t="s">
        <v>126</v>
      </c>
      <c r="B2" s="451"/>
      <c r="C2" s="451"/>
      <c r="D2" s="451"/>
      <c r="E2" s="451"/>
      <c r="F2" s="451"/>
      <c r="G2" s="451"/>
      <c r="H2" s="209"/>
      <c r="I2" s="336" t="s">
        <v>142</v>
      </c>
      <c r="J2" s="209"/>
      <c r="K2" s="210"/>
      <c r="L2" s="210"/>
      <c r="M2" s="210"/>
      <c r="N2" s="210"/>
      <c r="O2" s="210"/>
      <c r="P2" s="210"/>
      <c r="Q2" s="210"/>
    </row>
    <row r="3" spans="1:2792" ht="16.5" customHeight="1">
      <c r="A3" s="452" t="s">
        <v>127</v>
      </c>
      <c r="B3" s="451"/>
      <c r="C3" s="451"/>
      <c r="D3" s="451"/>
      <c r="E3" s="451"/>
      <c r="F3" s="451"/>
      <c r="G3" s="451"/>
      <c r="H3" s="209"/>
      <c r="I3" s="336" t="s">
        <v>143</v>
      </c>
      <c r="J3" s="209"/>
      <c r="K3" s="210"/>
      <c r="L3" s="210"/>
      <c r="M3" s="210"/>
      <c r="N3" s="210"/>
      <c r="O3" s="210"/>
      <c r="P3" s="210"/>
      <c r="Q3" s="210"/>
    </row>
    <row r="4" spans="1:2792" ht="16.5" customHeight="1" thickBot="1">
      <c r="A4" s="212" t="s">
        <v>92</v>
      </c>
      <c r="B4" s="213" t="s">
        <v>1367</v>
      </c>
      <c r="C4" s="214"/>
      <c r="D4" s="214"/>
      <c r="E4" s="214"/>
      <c r="F4" s="215" t="s">
        <v>91</v>
      </c>
      <c r="G4" s="366">
        <v>46287</v>
      </c>
      <c r="H4" s="209"/>
      <c r="I4" s="336" t="s">
        <v>144</v>
      </c>
      <c r="J4" s="209"/>
      <c r="K4" s="210"/>
      <c r="L4" s="210"/>
      <c r="M4" s="210"/>
      <c r="N4" s="210"/>
      <c r="O4" s="210"/>
      <c r="P4" s="210"/>
      <c r="Q4" s="210"/>
    </row>
    <row r="5" spans="1:2792" ht="15.75" customHeight="1" thickBot="1">
      <c r="A5" s="344" t="s">
        <v>130</v>
      </c>
      <c r="B5" s="345" t="s">
        <v>137</v>
      </c>
      <c r="C5" s="208" t="s">
        <v>94</v>
      </c>
      <c r="D5" s="208" t="s">
        <v>30</v>
      </c>
      <c r="E5" s="208" t="s">
        <v>131</v>
      </c>
      <c r="F5" s="216" t="s">
        <v>7</v>
      </c>
      <c r="G5" s="217" t="s">
        <v>128</v>
      </c>
      <c r="H5" s="209"/>
      <c r="I5" s="336" t="s">
        <v>145</v>
      </c>
      <c r="J5" s="209"/>
      <c r="K5" s="210"/>
      <c r="L5" s="210"/>
      <c r="M5" s="210"/>
      <c r="N5" s="210"/>
      <c r="O5" s="210"/>
      <c r="P5" s="210"/>
      <c r="Q5" s="210"/>
    </row>
    <row r="6" spans="1:2792" ht="15" customHeight="1">
      <c r="A6" s="59">
        <v>15245</v>
      </c>
      <c r="B6" s="350" t="s">
        <v>1380</v>
      </c>
      <c r="C6" s="59">
        <v>1</v>
      </c>
      <c r="D6" s="59">
        <v>3000</v>
      </c>
      <c r="E6" s="218">
        <v>137</v>
      </c>
      <c r="F6" s="59">
        <v>3000</v>
      </c>
      <c r="G6" s="365" t="s">
        <v>144</v>
      </c>
      <c r="H6" s="209"/>
      <c r="I6" s="338" t="s">
        <v>1362</v>
      </c>
      <c r="J6" s="209"/>
      <c r="K6" s="210"/>
      <c r="L6" s="210"/>
      <c r="M6" s="210"/>
      <c r="N6" s="210"/>
      <c r="O6" s="210"/>
      <c r="P6" s="210"/>
      <c r="Q6" s="210"/>
    </row>
    <row r="7" spans="1:2792" ht="15" customHeight="1">
      <c r="A7" s="59"/>
      <c r="B7" s="350" t="s">
        <v>1381</v>
      </c>
      <c r="C7" s="59">
        <v>1</v>
      </c>
      <c r="D7" s="59">
        <v>1650</v>
      </c>
      <c r="E7" s="59"/>
      <c r="F7" s="59">
        <v>1650</v>
      </c>
      <c r="G7" s="365"/>
      <c r="H7" s="209"/>
      <c r="I7" s="339" t="s">
        <v>1363</v>
      </c>
      <c r="J7" s="210"/>
      <c r="K7" s="210"/>
      <c r="L7" s="210"/>
      <c r="M7" s="210"/>
      <c r="N7" s="210"/>
      <c r="O7" s="210"/>
      <c r="P7" s="210"/>
      <c r="IW7" s="210"/>
    </row>
    <row r="8" spans="1:2792" ht="15" customHeight="1">
      <c r="A8" s="59"/>
      <c r="B8" s="350" t="s">
        <v>1382</v>
      </c>
      <c r="C8" s="59">
        <v>1</v>
      </c>
      <c r="D8" s="59">
        <v>0</v>
      </c>
      <c r="E8" s="59"/>
      <c r="F8" s="59">
        <v>0</v>
      </c>
      <c r="G8" s="365"/>
      <c r="H8" s="209"/>
      <c r="I8" s="339" t="s">
        <v>1364</v>
      </c>
      <c r="J8" s="210"/>
      <c r="K8" s="210"/>
      <c r="L8" s="210"/>
      <c r="M8" s="210"/>
      <c r="N8" s="210"/>
      <c r="O8" s="210"/>
      <c r="P8" s="210"/>
      <c r="IW8" s="210"/>
    </row>
    <row r="9" spans="1:2792" ht="15" customHeight="1">
      <c r="A9" s="59"/>
      <c r="B9" s="350" t="s">
        <v>1377</v>
      </c>
      <c r="C9" s="59">
        <v>1</v>
      </c>
      <c r="D9" s="59">
        <v>0</v>
      </c>
      <c r="E9" s="59"/>
      <c r="F9" s="59">
        <v>0</v>
      </c>
      <c r="G9" s="365"/>
      <c r="H9" s="209"/>
      <c r="I9" s="339" t="s">
        <v>1365</v>
      </c>
      <c r="J9" s="210"/>
      <c r="K9" s="210"/>
      <c r="L9" s="210"/>
      <c r="M9" s="210"/>
      <c r="N9" s="210"/>
      <c r="O9" s="210"/>
      <c r="P9" s="210"/>
      <c r="IW9" s="210"/>
    </row>
    <row r="10" spans="1:2792" ht="15" customHeight="1">
      <c r="A10" s="59">
        <v>15246</v>
      </c>
      <c r="B10" s="350" t="s">
        <v>1380</v>
      </c>
      <c r="C10" s="59">
        <v>1</v>
      </c>
      <c r="D10" s="59">
        <v>3000</v>
      </c>
      <c r="E10" s="59"/>
      <c r="F10" s="59">
        <v>3000</v>
      </c>
      <c r="G10" s="365" t="s">
        <v>142</v>
      </c>
      <c r="H10" s="209"/>
      <c r="I10" s="209"/>
      <c r="J10" s="210"/>
      <c r="K10" s="210"/>
      <c r="L10" s="210"/>
      <c r="M10" s="210"/>
      <c r="N10" s="210"/>
      <c r="O10" s="210"/>
      <c r="P10" s="210"/>
      <c r="IW10" s="210"/>
    </row>
    <row r="11" spans="1:2792" ht="15" customHeight="1">
      <c r="A11" s="59"/>
      <c r="B11" s="350" t="s">
        <v>1383</v>
      </c>
      <c r="C11" s="59">
        <v>1</v>
      </c>
      <c r="D11" s="59">
        <v>0</v>
      </c>
      <c r="E11" s="59"/>
      <c r="F11" s="59">
        <v>0</v>
      </c>
      <c r="G11" s="365"/>
      <c r="H11" s="209"/>
      <c r="I11" s="209"/>
      <c r="J11" s="209"/>
      <c r="K11" s="210"/>
      <c r="L11" s="210"/>
      <c r="M11" s="210"/>
      <c r="N11" s="210"/>
      <c r="O11" s="210"/>
      <c r="P11" s="210"/>
      <c r="Q11" s="210"/>
    </row>
    <row r="12" spans="1:2792" ht="15" customHeight="1">
      <c r="A12" s="59"/>
      <c r="B12" s="350" t="s">
        <v>1180</v>
      </c>
      <c r="C12" s="59">
        <v>1</v>
      </c>
      <c r="D12" s="59">
        <v>0</v>
      </c>
      <c r="E12" s="59"/>
      <c r="F12" s="59">
        <v>0</v>
      </c>
      <c r="G12" s="365"/>
      <c r="H12" s="209"/>
      <c r="I12" s="209"/>
      <c r="J12" s="209"/>
      <c r="K12" s="210"/>
      <c r="L12" s="210"/>
      <c r="M12" s="210"/>
      <c r="N12" s="210"/>
      <c r="O12" s="210"/>
      <c r="P12" s="210"/>
      <c r="Q12" s="210"/>
    </row>
    <row r="13" spans="1:2792" ht="15" customHeight="1">
      <c r="A13" s="59">
        <v>15247</v>
      </c>
      <c r="B13" s="350" t="s">
        <v>1384</v>
      </c>
      <c r="C13" s="59">
        <v>1</v>
      </c>
      <c r="D13" s="59">
        <v>375</v>
      </c>
      <c r="E13" s="59"/>
      <c r="F13" s="59">
        <v>375</v>
      </c>
      <c r="G13" s="365" t="s">
        <v>142</v>
      </c>
      <c r="H13" s="209"/>
      <c r="I13" s="209"/>
      <c r="J13" s="209"/>
      <c r="K13" s="210"/>
      <c r="L13" s="210"/>
      <c r="M13" s="210"/>
      <c r="N13" s="210"/>
      <c r="O13" s="210"/>
      <c r="P13" s="210"/>
      <c r="Q13" s="210"/>
    </row>
    <row r="14" spans="1:2792" ht="15" customHeight="1">
      <c r="A14" s="59"/>
      <c r="B14" s="350" t="s">
        <v>1181</v>
      </c>
      <c r="C14" s="59">
        <v>1</v>
      </c>
      <c r="D14" s="59">
        <v>0</v>
      </c>
      <c r="E14" s="59"/>
      <c r="F14" s="59">
        <v>0</v>
      </c>
      <c r="G14" s="365"/>
      <c r="H14" s="209"/>
      <c r="I14" s="209"/>
      <c r="J14" s="219"/>
      <c r="K14" s="61"/>
      <c r="L14" s="61"/>
      <c r="M14" s="61"/>
      <c r="N14" s="219"/>
      <c r="O14" s="61"/>
      <c r="P14" s="61"/>
      <c r="Q14" s="61"/>
      <c r="R14" s="219"/>
      <c r="S14" s="61"/>
      <c r="T14" s="61"/>
      <c r="U14" s="61"/>
      <c r="V14" s="219"/>
      <c r="W14" s="61"/>
      <c r="X14" s="61"/>
      <c r="Y14" s="61"/>
      <c r="Z14" s="219"/>
      <c r="AA14" s="61"/>
      <c r="AB14" s="61"/>
      <c r="AC14" s="61"/>
      <c r="AD14" s="219"/>
      <c r="AE14" s="61"/>
      <c r="AF14" s="61"/>
      <c r="AG14" s="61"/>
      <c r="AH14" s="219"/>
      <c r="AI14" s="61"/>
      <c r="AJ14" s="61"/>
      <c r="AK14" s="61"/>
      <c r="AL14" s="219"/>
      <c r="AM14" s="61"/>
      <c r="AN14" s="61"/>
      <c r="AO14" s="61"/>
      <c r="AP14" s="219"/>
      <c r="AQ14" s="61"/>
      <c r="AR14" s="61"/>
      <c r="AS14" s="61"/>
      <c r="AT14" s="219"/>
      <c r="AU14" s="61"/>
      <c r="AV14" s="61"/>
      <c r="AW14" s="61"/>
      <c r="AX14" s="219"/>
      <c r="AY14" s="61"/>
      <c r="AZ14" s="61"/>
      <c r="BA14" s="61"/>
      <c r="BB14" s="219"/>
      <c r="BC14" s="61"/>
      <c r="BD14" s="61"/>
      <c r="BE14" s="61"/>
      <c r="BF14" s="219"/>
      <c r="BG14" s="61"/>
      <c r="BH14" s="61"/>
      <c r="BI14" s="61"/>
      <c r="BJ14" s="219"/>
      <c r="BK14" s="61"/>
      <c r="BL14" s="61"/>
      <c r="BM14" s="61"/>
      <c r="BN14" s="219"/>
      <c r="BO14" s="61"/>
      <c r="BP14" s="61"/>
      <c r="BQ14" s="61"/>
      <c r="BR14" s="219"/>
      <c r="BS14" s="61"/>
      <c r="BT14" s="61"/>
      <c r="BU14" s="61"/>
      <c r="BV14" s="219"/>
      <c r="BW14" s="61"/>
      <c r="BX14" s="61"/>
      <c r="BY14" s="61"/>
      <c r="BZ14" s="219"/>
      <c r="CA14" s="61"/>
      <c r="CB14" s="61"/>
      <c r="CC14" s="61"/>
      <c r="CD14" s="219"/>
      <c r="CE14" s="61"/>
      <c r="CF14" s="61"/>
      <c r="CG14" s="61"/>
      <c r="CH14" s="219"/>
      <c r="CI14" s="61"/>
      <c r="CJ14" s="61"/>
      <c r="CK14" s="61"/>
      <c r="CL14" s="219"/>
      <c r="CM14" s="61"/>
      <c r="CN14" s="61"/>
      <c r="CO14" s="61"/>
      <c r="CP14" s="219"/>
      <c r="CQ14" s="61"/>
      <c r="CR14" s="61"/>
      <c r="CS14" s="61"/>
      <c r="CT14" s="219"/>
      <c r="CU14" s="61"/>
      <c r="CV14" s="61"/>
      <c r="CW14" s="61"/>
      <c r="CX14" s="219"/>
      <c r="CY14" s="61"/>
      <c r="CZ14" s="61"/>
      <c r="DA14" s="61"/>
      <c r="DB14" s="219"/>
      <c r="DC14" s="61"/>
      <c r="DD14" s="61"/>
      <c r="DE14" s="61"/>
      <c r="DF14" s="219"/>
      <c r="DG14" s="61"/>
      <c r="DH14" s="61">
        <v>4050</v>
      </c>
      <c r="DI14" s="61">
        <v>2594</v>
      </c>
      <c r="DJ14" s="219" t="s">
        <v>152</v>
      </c>
      <c r="DK14" s="61">
        <v>3</v>
      </c>
      <c r="DL14" s="61">
        <v>4050</v>
      </c>
      <c r="DM14" s="61">
        <v>2594</v>
      </c>
      <c r="DN14" s="219" t="s">
        <v>152</v>
      </c>
      <c r="DO14" s="61">
        <v>3</v>
      </c>
      <c r="DP14" s="61">
        <v>4050</v>
      </c>
      <c r="DQ14" s="61">
        <v>2594</v>
      </c>
      <c r="DR14" s="219" t="s">
        <v>152</v>
      </c>
      <c r="DS14" s="61">
        <v>3</v>
      </c>
      <c r="DT14" s="61">
        <v>4050</v>
      </c>
      <c r="DU14" s="61">
        <v>2594</v>
      </c>
      <c r="DV14" s="219" t="s">
        <v>152</v>
      </c>
      <c r="DW14" s="61">
        <v>3</v>
      </c>
      <c r="DX14" s="61">
        <v>4050</v>
      </c>
      <c r="DY14" s="61">
        <v>2594</v>
      </c>
      <c r="DZ14" s="219" t="s">
        <v>152</v>
      </c>
      <c r="EA14" s="61">
        <v>3</v>
      </c>
      <c r="EB14" s="61">
        <v>4050</v>
      </c>
      <c r="EC14" s="61">
        <v>2594</v>
      </c>
      <c r="ED14" s="219" t="s">
        <v>152</v>
      </c>
      <c r="EE14" s="61">
        <v>3</v>
      </c>
      <c r="EF14" s="61">
        <v>4050</v>
      </c>
      <c r="EG14" s="61">
        <v>2594</v>
      </c>
      <c r="EH14" s="219" t="s">
        <v>152</v>
      </c>
      <c r="EI14" s="61">
        <v>3</v>
      </c>
      <c r="EJ14" s="61">
        <v>4050</v>
      </c>
      <c r="EK14" s="61">
        <v>2594</v>
      </c>
      <c r="EL14" s="219" t="s">
        <v>152</v>
      </c>
      <c r="EM14" s="61">
        <v>3</v>
      </c>
      <c r="EN14" s="61">
        <v>4050</v>
      </c>
      <c r="EO14" s="61">
        <v>2594</v>
      </c>
      <c r="EP14" s="219" t="s">
        <v>152</v>
      </c>
      <c r="EQ14" s="61">
        <v>3</v>
      </c>
      <c r="ER14" s="61">
        <v>4050</v>
      </c>
      <c r="ES14" s="61">
        <v>2594</v>
      </c>
      <c r="ET14" s="219" t="s">
        <v>152</v>
      </c>
      <c r="EU14" s="61">
        <v>3</v>
      </c>
      <c r="EV14" s="61">
        <v>4050</v>
      </c>
      <c r="EW14" s="61">
        <v>2594</v>
      </c>
      <c r="EX14" s="219" t="s">
        <v>152</v>
      </c>
      <c r="EY14" s="61">
        <v>3</v>
      </c>
      <c r="EZ14" s="61">
        <v>4050</v>
      </c>
      <c r="FA14" s="61">
        <v>2594</v>
      </c>
      <c r="FB14" s="219" t="s">
        <v>152</v>
      </c>
      <c r="FC14" s="61">
        <v>3</v>
      </c>
      <c r="FD14" s="61">
        <v>4050</v>
      </c>
      <c r="FE14" s="61">
        <v>2594</v>
      </c>
      <c r="FF14" s="219" t="s">
        <v>152</v>
      </c>
      <c r="FG14" s="61">
        <v>3</v>
      </c>
      <c r="FH14" s="61">
        <v>4050</v>
      </c>
      <c r="FI14" s="61">
        <v>2594</v>
      </c>
      <c r="FJ14" s="219" t="s">
        <v>152</v>
      </c>
      <c r="FK14" s="61">
        <v>3</v>
      </c>
      <c r="FL14" s="61">
        <v>4050</v>
      </c>
      <c r="FM14" s="61">
        <v>2594</v>
      </c>
      <c r="FN14" s="219" t="s">
        <v>152</v>
      </c>
      <c r="FO14" s="61">
        <v>3</v>
      </c>
      <c r="FP14" s="61">
        <v>4050</v>
      </c>
      <c r="FQ14" s="61">
        <v>2594</v>
      </c>
      <c r="FR14" s="219" t="s">
        <v>152</v>
      </c>
      <c r="FS14" s="61">
        <v>3</v>
      </c>
      <c r="FT14" s="61">
        <v>4050</v>
      </c>
      <c r="FU14" s="61">
        <v>2594</v>
      </c>
      <c r="FV14" s="219" t="s">
        <v>152</v>
      </c>
      <c r="FW14" s="61">
        <v>3</v>
      </c>
      <c r="FX14" s="61">
        <v>4050</v>
      </c>
      <c r="FY14" s="61">
        <v>2594</v>
      </c>
      <c r="FZ14" s="219" t="s">
        <v>152</v>
      </c>
      <c r="GA14" s="61">
        <v>3</v>
      </c>
      <c r="GB14" s="61">
        <v>4050</v>
      </c>
      <c r="GC14" s="61">
        <v>2594</v>
      </c>
      <c r="GD14" s="219" t="s">
        <v>152</v>
      </c>
      <c r="GE14" s="61">
        <v>3</v>
      </c>
      <c r="GF14" s="61">
        <v>4050</v>
      </c>
      <c r="GG14" s="61">
        <v>2594</v>
      </c>
      <c r="GH14" s="219" t="s">
        <v>152</v>
      </c>
      <c r="GI14" s="61">
        <v>3</v>
      </c>
      <c r="GJ14" s="61">
        <v>4050</v>
      </c>
      <c r="GK14" s="61">
        <v>2594</v>
      </c>
      <c r="GL14" s="219" t="s">
        <v>152</v>
      </c>
      <c r="GM14" s="61">
        <v>3</v>
      </c>
      <c r="GN14" s="61">
        <v>4050</v>
      </c>
      <c r="GO14" s="61">
        <v>2594</v>
      </c>
      <c r="GP14" s="219" t="s">
        <v>152</v>
      </c>
      <c r="GQ14" s="61">
        <v>3</v>
      </c>
      <c r="GR14" s="61">
        <v>4050</v>
      </c>
      <c r="GS14" s="61">
        <v>2594</v>
      </c>
      <c r="GT14" s="219" t="s">
        <v>152</v>
      </c>
      <c r="GU14" s="61">
        <v>3</v>
      </c>
      <c r="GV14" s="61">
        <v>4050</v>
      </c>
      <c r="GW14" s="61">
        <v>2594</v>
      </c>
      <c r="GX14" s="219" t="s">
        <v>152</v>
      </c>
      <c r="GY14" s="61">
        <v>3</v>
      </c>
      <c r="GZ14" s="61">
        <v>4050</v>
      </c>
      <c r="HA14" s="61">
        <v>2594</v>
      </c>
      <c r="HB14" s="219" t="s">
        <v>152</v>
      </c>
      <c r="HC14" s="61">
        <v>3</v>
      </c>
      <c r="HD14" s="61">
        <v>4050</v>
      </c>
      <c r="HE14" s="61">
        <v>2594</v>
      </c>
      <c r="HF14" s="219" t="s">
        <v>152</v>
      </c>
      <c r="HG14" s="61">
        <v>3</v>
      </c>
      <c r="HH14" s="61">
        <v>4050</v>
      </c>
      <c r="HI14" s="61">
        <v>2594</v>
      </c>
      <c r="HJ14" s="219" t="s">
        <v>152</v>
      </c>
      <c r="HK14" s="61">
        <v>3</v>
      </c>
      <c r="HL14" s="61">
        <v>4050</v>
      </c>
      <c r="HM14" s="61">
        <v>2594</v>
      </c>
      <c r="HN14" s="219" t="s">
        <v>152</v>
      </c>
      <c r="HO14" s="61">
        <v>3</v>
      </c>
      <c r="HP14" s="61">
        <v>4050</v>
      </c>
      <c r="HQ14" s="61">
        <v>2594</v>
      </c>
      <c r="HR14" s="219" t="s">
        <v>152</v>
      </c>
      <c r="HS14" s="61">
        <v>3</v>
      </c>
      <c r="HT14" s="61">
        <v>4050</v>
      </c>
      <c r="HU14" s="61">
        <v>2594</v>
      </c>
      <c r="HV14" s="219" t="s">
        <v>152</v>
      </c>
      <c r="HW14" s="61">
        <v>3</v>
      </c>
      <c r="HX14" s="61">
        <v>4050</v>
      </c>
      <c r="HY14" s="61">
        <v>2594</v>
      </c>
      <c r="HZ14" s="219" t="s">
        <v>152</v>
      </c>
      <c r="IA14" s="61">
        <v>3</v>
      </c>
      <c r="IB14" s="61">
        <v>4050</v>
      </c>
      <c r="IC14" s="61">
        <v>2594</v>
      </c>
      <c r="ID14" s="219" t="s">
        <v>152</v>
      </c>
      <c r="IE14" s="61">
        <v>3</v>
      </c>
      <c r="IF14" s="61">
        <v>4050</v>
      </c>
      <c r="IG14" s="61">
        <v>2594</v>
      </c>
      <c r="IH14" s="219" t="s">
        <v>152</v>
      </c>
      <c r="II14" s="61">
        <v>3</v>
      </c>
      <c r="IJ14" s="61">
        <v>4050</v>
      </c>
      <c r="IK14" s="61">
        <v>2594</v>
      </c>
      <c r="IL14" s="219" t="s">
        <v>152</v>
      </c>
      <c r="IM14" s="61">
        <v>3</v>
      </c>
      <c r="IN14" s="61">
        <v>4050</v>
      </c>
      <c r="IO14" s="61">
        <v>2594</v>
      </c>
      <c r="IP14" s="219" t="s">
        <v>152</v>
      </c>
      <c r="IQ14" s="61">
        <v>3</v>
      </c>
      <c r="IR14" s="61">
        <v>4050</v>
      </c>
      <c r="IS14" s="61">
        <v>2594</v>
      </c>
      <c r="IT14" s="219" t="s">
        <v>152</v>
      </c>
      <c r="IU14" s="61">
        <v>3</v>
      </c>
      <c r="IV14" s="61">
        <v>4050</v>
      </c>
      <c r="IW14" s="61">
        <v>2594</v>
      </c>
      <c r="IX14" s="219" t="s">
        <v>152</v>
      </c>
      <c r="IY14" s="61">
        <v>3</v>
      </c>
      <c r="IZ14" s="61">
        <v>4050</v>
      </c>
      <c r="JA14" s="61">
        <v>2594</v>
      </c>
      <c r="JB14" s="219" t="s">
        <v>152</v>
      </c>
      <c r="JC14" s="61">
        <v>3</v>
      </c>
      <c r="JD14" s="61">
        <v>4050</v>
      </c>
      <c r="JE14" s="61">
        <v>2594</v>
      </c>
      <c r="JF14" s="219" t="s">
        <v>152</v>
      </c>
      <c r="JG14" s="61">
        <v>3</v>
      </c>
      <c r="JH14" s="61">
        <v>4050</v>
      </c>
      <c r="JI14" s="61">
        <v>2594</v>
      </c>
      <c r="JJ14" s="219" t="s">
        <v>152</v>
      </c>
      <c r="JK14" s="61">
        <v>3</v>
      </c>
      <c r="JL14" s="61">
        <v>4050</v>
      </c>
      <c r="JM14" s="61">
        <v>2594</v>
      </c>
      <c r="JN14" s="219" t="s">
        <v>152</v>
      </c>
      <c r="JO14" s="61">
        <v>3</v>
      </c>
      <c r="JP14" s="61">
        <v>4050</v>
      </c>
      <c r="JQ14" s="61">
        <v>2594</v>
      </c>
      <c r="JR14" s="219" t="s">
        <v>152</v>
      </c>
      <c r="JS14" s="61">
        <v>3</v>
      </c>
      <c r="JT14" s="61">
        <v>4050</v>
      </c>
      <c r="JU14" s="61">
        <v>2594</v>
      </c>
      <c r="JV14" s="219" t="s">
        <v>152</v>
      </c>
      <c r="JW14" s="61">
        <v>3</v>
      </c>
      <c r="JX14" s="61">
        <v>4050</v>
      </c>
      <c r="JY14" s="61">
        <v>2594</v>
      </c>
      <c r="JZ14" s="219" t="s">
        <v>152</v>
      </c>
      <c r="KA14" s="61">
        <v>3</v>
      </c>
      <c r="KB14" s="61">
        <v>4050</v>
      </c>
      <c r="KC14" s="61">
        <v>2594</v>
      </c>
      <c r="KD14" s="219" t="s">
        <v>152</v>
      </c>
      <c r="KE14" s="61">
        <v>3</v>
      </c>
      <c r="KF14" s="61">
        <v>4050</v>
      </c>
      <c r="KG14" s="61">
        <v>2594</v>
      </c>
      <c r="KH14" s="219" t="s">
        <v>152</v>
      </c>
      <c r="KI14" s="61">
        <v>3</v>
      </c>
      <c r="KJ14" s="61">
        <v>4050</v>
      </c>
      <c r="KK14" s="61">
        <v>2594</v>
      </c>
      <c r="KL14" s="219" t="s">
        <v>152</v>
      </c>
      <c r="KM14" s="61">
        <v>3</v>
      </c>
      <c r="KN14" s="61">
        <v>4050</v>
      </c>
      <c r="KO14" s="61">
        <v>2594</v>
      </c>
      <c r="KP14" s="219" t="s">
        <v>152</v>
      </c>
      <c r="KQ14" s="61">
        <v>3</v>
      </c>
      <c r="KR14" s="61">
        <v>4050</v>
      </c>
      <c r="KS14" s="61">
        <v>2594</v>
      </c>
      <c r="KT14" s="219" t="s">
        <v>152</v>
      </c>
      <c r="KU14" s="61">
        <v>3</v>
      </c>
      <c r="KV14" s="61">
        <v>4050</v>
      </c>
      <c r="KW14" s="61">
        <v>2594</v>
      </c>
      <c r="KX14" s="219" t="s">
        <v>152</v>
      </c>
      <c r="KY14" s="61">
        <v>3</v>
      </c>
      <c r="KZ14" s="61">
        <v>4050</v>
      </c>
      <c r="LA14" s="61">
        <v>2594</v>
      </c>
      <c r="LB14" s="219" t="s">
        <v>152</v>
      </c>
      <c r="LC14" s="61">
        <v>3</v>
      </c>
      <c r="LD14" s="61">
        <v>4050</v>
      </c>
      <c r="LE14" s="61">
        <v>2594</v>
      </c>
      <c r="LF14" s="219" t="s">
        <v>152</v>
      </c>
      <c r="LG14" s="61">
        <v>3</v>
      </c>
      <c r="LH14" s="61">
        <v>4050</v>
      </c>
      <c r="LI14" s="61">
        <v>2594</v>
      </c>
      <c r="LJ14" s="219" t="s">
        <v>152</v>
      </c>
      <c r="LK14" s="61">
        <v>3</v>
      </c>
      <c r="LL14" s="61">
        <v>4050</v>
      </c>
      <c r="LM14" s="61">
        <v>2594</v>
      </c>
      <c r="LN14" s="219" t="s">
        <v>152</v>
      </c>
      <c r="LO14" s="61">
        <v>3</v>
      </c>
      <c r="LP14" s="61">
        <v>4050</v>
      </c>
      <c r="LQ14" s="61">
        <v>2594</v>
      </c>
      <c r="LR14" s="219" t="s">
        <v>152</v>
      </c>
      <c r="LS14" s="61">
        <v>3</v>
      </c>
      <c r="LT14" s="61">
        <v>4050</v>
      </c>
      <c r="LU14" s="61">
        <v>2594</v>
      </c>
      <c r="LV14" s="219" t="s">
        <v>152</v>
      </c>
      <c r="LW14" s="61">
        <v>3</v>
      </c>
      <c r="LX14" s="61">
        <v>4050</v>
      </c>
      <c r="LY14" s="61">
        <v>2594</v>
      </c>
      <c r="LZ14" s="219" t="s">
        <v>152</v>
      </c>
      <c r="MA14" s="61">
        <v>3</v>
      </c>
      <c r="MB14" s="61">
        <v>4050</v>
      </c>
      <c r="MC14" s="61">
        <v>2594</v>
      </c>
      <c r="MD14" s="219" t="s">
        <v>152</v>
      </c>
      <c r="ME14" s="61">
        <v>3</v>
      </c>
      <c r="MF14" s="61">
        <v>4050</v>
      </c>
      <c r="MG14" s="61">
        <v>2594</v>
      </c>
      <c r="MH14" s="219" t="s">
        <v>152</v>
      </c>
      <c r="MI14" s="61">
        <v>3</v>
      </c>
      <c r="MJ14" s="61">
        <v>4050</v>
      </c>
      <c r="MK14" s="61">
        <v>2594</v>
      </c>
      <c r="ML14" s="219" t="s">
        <v>152</v>
      </c>
      <c r="MM14" s="61">
        <v>3</v>
      </c>
      <c r="MN14" s="61">
        <v>4050</v>
      </c>
      <c r="MO14" s="61">
        <v>2594</v>
      </c>
      <c r="MP14" s="219" t="s">
        <v>152</v>
      </c>
      <c r="MQ14" s="61">
        <v>3</v>
      </c>
      <c r="MR14" s="61">
        <v>4050</v>
      </c>
      <c r="MS14" s="61">
        <v>2594</v>
      </c>
      <c r="MT14" s="219" t="s">
        <v>152</v>
      </c>
      <c r="MU14" s="61">
        <v>3</v>
      </c>
      <c r="MV14" s="61">
        <v>4050</v>
      </c>
      <c r="MW14" s="61">
        <v>2594</v>
      </c>
      <c r="MX14" s="219" t="s">
        <v>152</v>
      </c>
      <c r="MY14" s="61">
        <v>3</v>
      </c>
      <c r="MZ14" s="61">
        <v>4050</v>
      </c>
      <c r="NA14" s="61">
        <v>2594</v>
      </c>
      <c r="NB14" s="219" t="s">
        <v>152</v>
      </c>
      <c r="NC14" s="61">
        <v>3</v>
      </c>
      <c r="ND14" s="61">
        <v>4050</v>
      </c>
      <c r="NE14" s="61">
        <v>2594</v>
      </c>
      <c r="NF14" s="219" t="s">
        <v>152</v>
      </c>
      <c r="NG14" s="61">
        <v>3</v>
      </c>
      <c r="NH14" s="61">
        <v>4050</v>
      </c>
      <c r="NI14" s="61">
        <v>2594</v>
      </c>
      <c r="NJ14" s="219" t="s">
        <v>152</v>
      </c>
      <c r="NK14" s="61">
        <v>3</v>
      </c>
      <c r="NL14" s="61">
        <v>4050</v>
      </c>
      <c r="NM14" s="61">
        <v>2594</v>
      </c>
      <c r="NN14" s="219" t="s">
        <v>152</v>
      </c>
      <c r="NO14" s="61">
        <v>3</v>
      </c>
      <c r="NP14" s="61">
        <v>4050</v>
      </c>
      <c r="NQ14" s="61">
        <v>2594</v>
      </c>
      <c r="NR14" s="219" t="s">
        <v>152</v>
      </c>
      <c r="NS14" s="61">
        <v>3</v>
      </c>
      <c r="NT14" s="61">
        <v>4050</v>
      </c>
      <c r="NU14" s="61">
        <v>2594</v>
      </c>
      <c r="NV14" s="219" t="s">
        <v>152</v>
      </c>
      <c r="NW14" s="61">
        <v>3</v>
      </c>
      <c r="NX14" s="61">
        <v>4050</v>
      </c>
      <c r="NY14" s="61">
        <v>2594</v>
      </c>
      <c r="NZ14" s="219" t="s">
        <v>152</v>
      </c>
      <c r="OA14" s="61">
        <v>3</v>
      </c>
      <c r="OB14" s="61">
        <v>4050</v>
      </c>
      <c r="OC14" s="61">
        <v>2594</v>
      </c>
      <c r="OD14" s="219" t="s">
        <v>152</v>
      </c>
      <c r="OE14" s="61">
        <v>3</v>
      </c>
      <c r="OF14" s="61">
        <v>4050</v>
      </c>
      <c r="OG14" s="61">
        <v>2594</v>
      </c>
      <c r="OH14" s="219" t="s">
        <v>152</v>
      </c>
      <c r="OI14" s="61">
        <v>3</v>
      </c>
      <c r="OJ14" s="61">
        <v>4050</v>
      </c>
      <c r="OK14" s="61">
        <v>2594</v>
      </c>
      <c r="OL14" s="219" t="s">
        <v>152</v>
      </c>
      <c r="OM14" s="61">
        <v>3</v>
      </c>
      <c r="ON14" s="61">
        <v>4050</v>
      </c>
      <c r="OO14" s="61">
        <v>2594</v>
      </c>
      <c r="OP14" s="219" t="s">
        <v>152</v>
      </c>
      <c r="OQ14" s="61">
        <v>3</v>
      </c>
      <c r="OR14" s="61">
        <v>4050</v>
      </c>
      <c r="OS14" s="61">
        <v>2594</v>
      </c>
      <c r="OT14" s="219" t="s">
        <v>152</v>
      </c>
      <c r="OU14" s="61">
        <v>3</v>
      </c>
      <c r="OV14" s="61">
        <v>4050</v>
      </c>
      <c r="OW14" s="61">
        <v>2594</v>
      </c>
      <c r="OX14" s="219" t="s">
        <v>152</v>
      </c>
      <c r="OY14" s="61">
        <v>3</v>
      </c>
      <c r="OZ14" s="61">
        <v>4050</v>
      </c>
      <c r="PA14" s="61">
        <v>2594</v>
      </c>
      <c r="PB14" s="219" t="s">
        <v>152</v>
      </c>
      <c r="PC14" s="61">
        <v>3</v>
      </c>
      <c r="PD14" s="61">
        <v>4050</v>
      </c>
      <c r="PE14" s="61">
        <v>2594</v>
      </c>
      <c r="PF14" s="219" t="s">
        <v>152</v>
      </c>
      <c r="PG14" s="61">
        <v>3</v>
      </c>
      <c r="PH14" s="61">
        <v>4050</v>
      </c>
      <c r="PI14" s="61">
        <v>2594</v>
      </c>
      <c r="PJ14" s="219" t="s">
        <v>152</v>
      </c>
      <c r="PK14" s="61">
        <v>3</v>
      </c>
      <c r="PL14" s="61">
        <v>4050</v>
      </c>
      <c r="PM14" s="61">
        <v>2594</v>
      </c>
      <c r="PN14" s="219" t="s">
        <v>152</v>
      </c>
      <c r="PO14" s="61">
        <v>3</v>
      </c>
      <c r="PP14" s="61">
        <v>4050</v>
      </c>
      <c r="PQ14" s="61">
        <v>2594</v>
      </c>
      <c r="PR14" s="219" t="s">
        <v>152</v>
      </c>
      <c r="PS14" s="61">
        <v>3</v>
      </c>
      <c r="PT14" s="61">
        <v>4050</v>
      </c>
      <c r="PU14" s="61">
        <v>2594</v>
      </c>
      <c r="PV14" s="219" t="s">
        <v>152</v>
      </c>
      <c r="PW14" s="61">
        <v>3</v>
      </c>
      <c r="PX14" s="61">
        <v>4050</v>
      </c>
      <c r="PY14" s="61">
        <v>2594</v>
      </c>
      <c r="PZ14" s="219" t="s">
        <v>152</v>
      </c>
      <c r="QA14" s="61">
        <v>3</v>
      </c>
      <c r="QB14" s="61">
        <v>4050</v>
      </c>
      <c r="QC14" s="61">
        <v>2594</v>
      </c>
      <c r="QD14" s="219" t="s">
        <v>152</v>
      </c>
      <c r="QE14" s="61">
        <v>3</v>
      </c>
      <c r="QF14" s="61">
        <v>4050</v>
      </c>
      <c r="QG14" s="61">
        <v>2594</v>
      </c>
      <c r="QH14" s="219" t="s">
        <v>152</v>
      </c>
      <c r="QI14" s="61">
        <v>3</v>
      </c>
      <c r="QJ14" s="61">
        <v>4050</v>
      </c>
      <c r="QK14" s="61">
        <v>2594</v>
      </c>
      <c r="QL14" s="219" t="s">
        <v>152</v>
      </c>
      <c r="QM14" s="61">
        <v>3</v>
      </c>
      <c r="QN14" s="61">
        <v>4050</v>
      </c>
      <c r="QO14" s="61">
        <v>2594</v>
      </c>
      <c r="QP14" s="219" t="s">
        <v>152</v>
      </c>
      <c r="QQ14" s="61">
        <v>3</v>
      </c>
      <c r="QR14" s="61">
        <v>4050</v>
      </c>
      <c r="QS14" s="61">
        <v>2594</v>
      </c>
      <c r="QT14" s="219" t="s">
        <v>152</v>
      </c>
      <c r="QU14" s="61">
        <v>3</v>
      </c>
      <c r="QV14" s="61">
        <v>4050</v>
      </c>
      <c r="QW14" s="61">
        <v>2594</v>
      </c>
      <c r="QX14" s="219" t="s">
        <v>152</v>
      </c>
      <c r="QY14" s="61">
        <v>3</v>
      </c>
      <c r="QZ14" s="61">
        <v>4050</v>
      </c>
      <c r="RA14" s="61">
        <v>2594</v>
      </c>
      <c r="RB14" s="219" t="s">
        <v>152</v>
      </c>
      <c r="RC14" s="61">
        <v>3</v>
      </c>
      <c r="RD14" s="61">
        <v>4050</v>
      </c>
      <c r="RE14" s="61">
        <v>2594</v>
      </c>
      <c r="RF14" s="219" t="s">
        <v>152</v>
      </c>
      <c r="RG14" s="61">
        <v>3</v>
      </c>
      <c r="RH14" s="61">
        <v>4050</v>
      </c>
      <c r="RI14" s="61">
        <v>2594</v>
      </c>
      <c r="RJ14" s="219" t="s">
        <v>152</v>
      </c>
      <c r="RK14" s="61">
        <v>3</v>
      </c>
      <c r="RL14" s="61">
        <v>4050</v>
      </c>
      <c r="RM14" s="61">
        <v>2594</v>
      </c>
      <c r="RN14" s="219" t="s">
        <v>152</v>
      </c>
      <c r="RO14" s="61">
        <v>3</v>
      </c>
      <c r="RP14" s="61">
        <v>4050</v>
      </c>
      <c r="RQ14" s="61">
        <v>2594</v>
      </c>
      <c r="RR14" s="219" t="s">
        <v>152</v>
      </c>
      <c r="RS14" s="61">
        <v>3</v>
      </c>
      <c r="RT14" s="61">
        <v>4050</v>
      </c>
      <c r="RU14" s="61">
        <v>2594</v>
      </c>
      <c r="RV14" s="219" t="s">
        <v>152</v>
      </c>
      <c r="RW14" s="61">
        <v>3</v>
      </c>
      <c r="RX14" s="61">
        <v>4050</v>
      </c>
      <c r="RY14" s="61">
        <v>2594</v>
      </c>
      <c r="RZ14" s="219" t="s">
        <v>152</v>
      </c>
      <c r="SA14" s="61">
        <v>3</v>
      </c>
      <c r="SB14" s="61">
        <v>4050</v>
      </c>
      <c r="SC14" s="61">
        <v>2594</v>
      </c>
      <c r="SD14" s="219" t="s">
        <v>152</v>
      </c>
      <c r="SE14" s="61">
        <v>3</v>
      </c>
      <c r="SF14" s="61">
        <v>4050</v>
      </c>
      <c r="SG14" s="61">
        <v>2594</v>
      </c>
      <c r="SH14" s="219" t="s">
        <v>152</v>
      </c>
      <c r="SI14" s="61">
        <v>3</v>
      </c>
      <c r="SJ14" s="61">
        <v>4050</v>
      </c>
      <c r="SK14" s="61">
        <v>2594</v>
      </c>
      <c r="SL14" s="219" t="s">
        <v>152</v>
      </c>
      <c r="SM14" s="61">
        <v>3</v>
      </c>
      <c r="SN14" s="61">
        <v>4050</v>
      </c>
      <c r="SO14" s="61">
        <v>2594</v>
      </c>
      <c r="SP14" s="219" t="s">
        <v>152</v>
      </c>
      <c r="SQ14" s="61">
        <v>3</v>
      </c>
      <c r="SR14" s="61">
        <v>4050</v>
      </c>
      <c r="SS14" s="61">
        <v>2594</v>
      </c>
      <c r="ST14" s="219" t="s">
        <v>152</v>
      </c>
      <c r="SU14" s="61">
        <v>3</v>
      </c>
      <c r="SV14" s="61">
        <v>4050</v>
      </c>
      <c r="SW14" s="61">
        <v>2594</v>
      </c>
      <c r="SX14" s="219" t="s">
        <v>152</v>
      </c>
      <c r="SY14" s="61">
        <v>3</v>
      </c>
      <c r="SZ14" s="61">
        <v>4050</v>
      </c>
      <c r="TA14" s="61">
        <v>2594</v>
      </c>
      <c r="TB14" s="219" t="s">
        <v>152</v>
      </c>
      <c r="TC14" s="61">
        <v>3</v>
      </c>
      <c r="TD14" s="61">
        <v>4050</v>
      </c>
      <c r="TE14" s="61">
        <v>2594</v>
      </c>
      <c r="TF14" s="219" t="s">
        <v>152</v>
      </c>
      <c r="TG14" s="61">
        <v>3</v>
      </c>
      <c r="TH14" s="61">
        <v>4050</v>
      </c>
      <c r="TI14" s="61">
        <v>2594</v>
      </c>
      <c r="TJ14" s="219" t="s">
        <v>152</v>
      </c>
      <c r="TK14" s="61">
        <v>3</v>
      </c>
      <c r="TL14" s="61">
        <v>4050</v>
      </c>
      <c r="TM14" s="61">
        <v>2594</v>
      </c>
      <c r="TN14" s="219" t="s">
        <v>152</v>
      </c>
      <c r="TO14" s="61">
        <v>3</v>
      </c>
      <c r="TP14" s="61">
        <v>4050</v>
      </c>
      <c r="TQ14" s="61">
        <v>2594</v>
      </c>
      <c r="TR14" s="219" t="s">
        <v>152</v>
      </c>
      <c r="TS14" s="61">
        <v>3</v>
      </c>
      <c r="TT14" s="61">
        <v>4050</v>
      </c>
      <c r="TU14" s="61">
        <v>2594</v>
      </c>
      <c r="TV14" s="219" t="s">
        <v>152</v>
      </c>
      <c r="TW14" s="61">
        <v>3</v>
      </c>
      <c r="TX14" s="61">
        <v>4050</v>
      </c>
      <c r="TY14" s="61">
        <v>2594</v>
      </c>
      <c r="TZ14" s="219" t="s">
        <v>152</v>
      </c>
      <c r="UA14" s="61">
        <v>3</v>
      </c>
      <c r="UB14" s="61">
        <v>4050</v>
      </c>
      <c r="UC14" s="61">
        <v>2594</v>
      </c>
      <c r="UD14" s="219" t="s">
        <v>152</v>
      </c>
      <c r="UE14" s="61">
        <v>3</v>
      </c>
      <c r="UF14" s="61">
        <v>4050</v>
      </c>
      <c r="UG14" s="61">
        <v>2594</v>
      </c>
      <c r="UH14" s="219" t="s">
        <v>152</v>
      </c>
      <c r="UI14" s="61">
        <v>3</v>
      </c>
      <c r="UJ14" s="61">
        <v>4050</v>
      </c>
      <c r="UK14" s="61">
        <v>2594</v>
      </c>
      <c r="UL14" s="219" t="s">
        <v>152</v>
      </c>
      <c r="UM14" s="61">
        <v>3</v>
      </c>
      <c r="UN14" s="61">
        <v>4050</v>
      </c>
      <c r="UO14" s="61">
        <v>2594</v>
      </c>
      <c r="UP14" s="219" t="s">
        <v>152</v>
      </c>
      <c r="UQ14" s="61">
        <v>3</v>
      </c>
      <c r="UR14" s="61">
        <v>4050</v>
      </c>
      <c r="US14" s="61">
        <v>2594</v>
      </c>
      <c r="UT14" s="219" t="s">
        <v>152</v>
      </c>
      <c r="UU14" s="61">
        <v>3</v>
      </c>
      <c r="UV14" s="61">
        <v>4050</v>
      </c>
      <c r="UW14" s="61">
        <v>2594</v>
      </c>
      <c r="UX14" s="219" t="s">
        <v>152</v>
      </c>
      <c r="UY14" s="61">
        <v>3</v>
      </c>
      <c r="UZ14" s="61">
        <v>4050</v>
      </c>
      <c r="VA14" s="61">
        <v>2594</v>
      </c>
      <c r="VB14" s="219" t="s">
        <v>152</v>
      </c>
      <c r="VC14" s="61">
        <v>3</v>
      </c>
      <c r="VD14" s="61">
        <v>4050</v>
      </c>
      <c r="VE14" s="61">
        <v>2594</v>
      </c>
      <c r="VF14" s="219" t="s">
        <v>152</v>
      </c>
      <c r="VG14" s="61">
        <v>3</v>
      </c>
      <c r="VH14" s="61">
        <v>4050</v>
      </c>
      <c r="VI14" s="61">
        <v>2594</v>
      </c>
      <c r="VJ14" s="219" t="s">
        <v>152</v>
      </c>
      <c r="VK14" s="61">
        <v>3</v>
      </c>
      <c r="VL14" s="61">
        <v>4050</v>
      </c>
      <c r="VM14" s="61">
        <v>2594</v>
      </c>
      <c r="VN14" s="219" t="s">
        <v>152</v>
      </c>
      <c r="VO14" s="61">
        <v>3</v>
      </c>
      <c r="VP14" s="61">
        <v>4050</v>
      </c>
      <c r="VQ14" s="61">
        <v>2594</v>
      </c>
      <c r="VR14" s="219" t="s">
        <v>152</v>
      </c>
      <c r="VS14" s="61">
        <v>3</v>
      </c>
      <c r="VT14" s="61">
        <v>4050</v>
      </c>
      <c r="VU14" s="61">
        <v>2594</v>
      </c>
      <c r="VV14" s="219" t="s">
        <v>152</v>
      </c>
      <c r="VW14" s="61">
        <v>3</v>
      </c>
      <c r="VX14" s="61">
        <v>4050</v>
      </c>
      <c r="VY14" s="61">
        <v>2594</v>
      </c>
      <c r="VZ14" s="219" t="s">
        <v>152</v>
      </c>
      <c r="WA14" s="61">
        <v>3</v>
      </c>
      <c r="WB14" s="61">
        <v>4050</v>
      </c>
      <c r="WC14" s="61">
        <v>2594</v>
      </c>
      <c r="WD14" s="219" t="s">
        <v>152</v>
      </c>
      <c r="WE14" s="61">
        <v>3</v>
      </c>
      <c r="WF14" s="61">
        <v>4050</v>
      </c>
      <c r="WG14" s="61">
        <v>2594</v>
      </c>
      <c r="WH14" s="219" t="s">
        <v>152</v>
      </c>
      <c r="WI14" s="61">
        <v>3</v>
      </c>
      <c r="WJ14" s="61">
        <v>4050</v>
      </c>
      <c r="WK14" s="61">
        <v>2594</v>
      </c>
      <c r="WL14" s="219" t="s">
        <v>152</v>
      </c>
      <c r="WM14" s="61">
        <v>3</v>
      </c>
      <c r="WN14" s="61">
        <v>4050</v>
      </c>
      <c r="WO14" s="61">
        <v>2594</v>
      </c>
      <c r="WP14" s="219" t="s">
        <v>152</v>
      </c>
      <c r="WQ14" s="61">
        <v>3</v>
      </c>
      <c r="WR14" s="61">
        <v>4050</v>
      </c>
      <c r="WS14" s="61">
        <v>2594</v>
      </c>
      <c r="WT14" s="219" t="s">
        <v>152</v>
      </c>
      <c r="WU14" s="61">
        <v>3</v>
      </c>
      <c r="WV14" s="61">
        <v>4050</v>
      </c>
      <c r="WW14" s="61">
        <v>2594</v>
      </c>
      <c r="WX14" s="219" t="s">
        <v>152</v>
      </c>
      <c r="WY14" s="61">
        <v>3</v>
      </c>
      <c r="WZ14" s="61">
        <v>4050</v>
      </c>
      <c r="XA14" s="61">
        <v>2594</v>
      </c>
      <c r="XB14" s="219" t="s">
        <v>152</v>
      </c>
      <c r="XC14" s="61">
        <v>3</v>
      </c>
      <c r="XD14" s="61">
        <v>4050</v>
      </c>
      <c r="XE14" s="61">
        <v>2594</v>
      </c>
      <c r="XF14" s="219" t="s">
        <v>152</v>
      </c>
      <c r="XG14" s="61">
        <v>3</v>
      </c>
      <c r="XH14" s="61">
        <v>4050</v>
      </c>
      <c r="XI14" s="61">
        <v>2594</v>
      </c>
      <c r="XJ14" s="219" t="s">
        <v>152</v>
      </c>
      <c r="XK14" s="61">
        <v>3</v>
      </c>
      <c r="XL14" s="61">
        <v>4050</v>
      </c>
      <c r="XM14" s="61">
        <v>2594</v>
      </c>
      <c r="XN14" s="219" t="s">
        <v>152</v>
      </c>
      <c r="XO14" s="61">
        <v>3</v>
      </c>
      <c r="XP14" s="61">
        <v>4050</v>
      </c>
      <c r="XQ14" s="61">
        <v>2594</v>
      </c>
      <c r="XR14" s="219" t="s">
        <v>152</v>
      </c>
      <c r="XS14" s="61">
        <v>3</v>
      </c>
      <c r="XT14" s="61">
        <v>4050</v>
      </c>
      <c r="XU14" s="61">
        <v>2594</v>
      </c>
      <c r="XV14" s="219" t="s">
        <v>152</v>
      </c>
      <c r="XW14" s="61">
        <v>3</v>
      </c>
      <c r="XX14" s="61">
        <v>4050</v>
      </c>
      <c r="XY14" s="61">
        <v>2594</v>
      </c>
      <c r="XZ14" s="219" t="s">
        <v>152</v>
      </c>
      <c r="YA14" s="61">
        <v>3</v>
      </c>
      <c r="YB14" s="61">
        <v>4050</v>
      </c>
      <c r="YC14" s="61">
        <v>2594</v>
      </c>
      <c r="YD14" s="219" t="s">
        <v>152</v>
      </c>
      <c r="YE14" s="61">
        <v>3</v>
      </c>
      <c r="YF14" s="61">
        <v>4050</v>
      </c>
      <c r="YG14" s="61">
        <v>2594</v>
      </c>
      <c r="YH14" s="219" t="s">
        <v>152</v>
      </c>
      <c r="YI14" s="61">
        <v>3</v>
      </c>
      <c r="YJ14" s="61">
        <v>4050</v>
      </c>
      <c r="YK14" s="61">
        <v>2594</v>
      </c>
      <c r="YL14" s="219" t="s">
        <v>152</v>
      </c>
      <c r="YM14" s="61">
        <v>3</v>
      </c>
      <c r="YN14" s="61">
        <v>4050</v>
      </c>
      <c r="YO14" s="61">
        <v>2594</v>
      </c>
      <c r="YP14" s="219" t="s">
        <v>152</v>
      </c>
      <c r="YQ14" s="61">
        <v>3</v>
      </c>
      <c r="YR14" s="61">
        <v>4050</v>
      </c>
      <c r="YS14" s="61">
        <v>2594</v>
      </c>
      <c r="YT14" s="219" t="s">
        <v>152</v>
      </c>
      <c r="YU14" s="61">
        <v>3</v>
      </c>
      <c r="YV14" s="61">
        <v>4050</v>
      </c>
      <c r="YW14" s="61">
        <v>2594</v>
      </c>
      <c r="YX14" s="219" t="s">
        <v>152</v>
      </c>
      <c r="YY14" s="61">
        <v>3</v>
      </c>
      <c r="YZ14" s="61">
        <v>4050</v>
      </c>
      <c r="ZA14" s="61">
        <v>2594</v>
      </c>
      <c r="ZB14" s="219" t="s">
        <v>152</v>
      </c>
      <c r="ZC14" s="61">
        <v>3</v>
      </c>
      <c r="ZD14" s="61">
        <v>4050</v>
      </c>
      <c r="ZE14" s="61">
        <v>2594</v>
      </c>
      <c r="ZF14" s="219" t="s">
        <v>152</v>
      </c>
      <c r="ZG14" s="61">
        <v>3</v>
      </c>
      <c r="ZH14" s="61">
        <v>4050</v>
      </c>
      <c r="ZI14" s="61">
        <v>2594</v>
      </c>
      <c r="ZJ14" s="219" t="s">
        <v>152</v>
      </c>
      <c r="ZK14" s="61">
        <v>3</v>
      </c>
      <c r="ZL14" s="61">
        <v>4050</v>
      </c>
      <c r="ZM14" s="61">
        <v>2594</v>
      </c>
      <c r="ZN14" s="219" t="s">
        <v>152</v>
      </c>
      <c r="ZO14" s="61">
        <v>3</v>
      </c>
      <c r="ZP14" s="61">
        <v>4050</v>
      </c>
      <c r="ZQ14" s="61">
        <v>2594</v>
      </c>
      <c r="ZR14" s="219" t="s">
        <v>152</v>
      </c>
      <c r="ZS14" s="61">
        <v>3</v>
      </c>
      <c r="ZT14" s="61">
        <v>4050</v>
      </c>
      <c r="ZU14" s="61">
        <v>2594</v>
      </c>
      <c r="ZV14" s="219" t="s">
        <v>152</v>
      </c>
      <c r="ZW14" s="61">
        <v>3</v>
      </c>
      <c r="ZX14" s="61">
        <v>4050</v>
      </c>
      <c r="ZY14" s="61">
        <v>2594</v>
      </c>
      <c r="ZZ14" s="219" t="s">
        <v>152</v>
      </c>
      <c r="AAA14" s="61">
        <v>3</v>
      </c>
      <c r="AAB14" s="61">
        <v>4050</v>
      </c>
      <c r="AAC14" s="61">
        <v>2594</v>
      </c>
      <c r="AAD14" s="219" t="s">
        <v>152</v>
      </c>
      <c r="AAE14" s="61">
        <v>3</v>
      </c>
      <c r="AAF14" s="61">
        <v>4050</v>
      </c>
      <c r="AAG14" s="61">
        <v>2594</v>
      </c>
      <c r="AAH14" s="219" t="s">
        <v>152</v>
      </c>
      <c r="AAI14" s="61">
        <v>3</v>
      </c>
      <c r="AAJ14" s="61">
        <v>4050</v>
      </c>
      <c r="AAK14" s="61">
        <v>2594</v>
      </c>
      <c r="AAL14" s="219" t="s">
        <v>152</v>
      </c>
      <c r="AAM14" s="61">
        <v>3</v>
      </c>
      <c r="AAN14" s="61">
        <v>4050</v>
      </c>
      <c r="AAO14" s="61">
        <v>2594</v>
      </c>
      <c r="AAP14" s="219" t="s">
        <v>152</v>
      </c>
      <c r="AAQ14" s="61">
        <v>3</v>
      </c>
      <c r="AAR14" s="61">
        <v>4050</v>
      </c>
      <c r="AAS14" s="61">
        <v>2594</v>
      </c>
      <c r="AAT14" s="219" t="s">
        <v>152</v>
      </c>
      <c r="AAU14" s="61">
        <v>3</v>
      </c>
      <c r="AAV14" s="61">
        <v>4050</v>
      </c>
      <c r="AAW14" s="61">
        <v>2594</v>
      </c>
      <c r="AAX14" s="219" t="s">
        <v>152</v>
      </c>
      <c r="AAY14" s="61">
        <v>3</v>
      </c>
      <c r="AAZ14" s="61">
        <v>4050</v>
      </c>
      <c r="ABA14" s="61">
        <v>2594</v>
      </c>
      <c r="ABB14" s="219" t="s">
        <v>152</v>
      </c>
      <c r="ABC14" s="61">
        <v>3</v>
      </c>
      <c r="ABD14" s="61">
        <v>4050</v>
      </c>
      <c r="ABE14" s="61">
        <v>2594</v>
      </c>
      <c r="ABF14" s="219" t="s">
        <v>152</v>
      </c>
      <c r="ABG14" s="61">
        <v>3</v>
      </c>
      <c r="ABH14" s="61">
        <v>4050</v>
      </c>
      <c r="ABI14" s="61">
        <v>2594</v>
      </c>
      <c r="ABJ14" s="219" t="s">
        <v>152</v>
      </c>
      <c r="ABK14" s="61">
        <v>3</v>
      </c>
      <c r="ABL14" s="61">
        <v>4050</v>
      </c>
      <c r="ABM14" s="61">
        <v>2594</v>
      </c>
      <c r="ABN14" s="219" t="s">
        <v>152</v>
      </c>
      <c r="ABO14" s="61">
        <v>3</v>
      </c>
      <c r="ABP14" s="61">
        <v>4050</v>
      </c>
      <c r="ABQ14" s="61">
        <v>2594</v>
      </c>
      <c r="ABR14" s="219" t="s">
        <v>152</v>
      </c>
      <c r="ABS14" s="61">
        <v>3</v>
      </c>
      <c r="ABT14" s="61">
        <v>4050</v>
      </c>
      <c r="ABU14" s="61">
        <v>2594</v>
      </c>
      <c r="ABV14" s="219" t="s">
        <v>152</v>
      </c>
      <c r="ABW14" s="61">
        <v>3</v>
      </c>
      <c r="ABX14" s="61">
        <v>4050</v>
      </c>
      <c r="ABY14" s="61">
        <v>2594</v>
      </c>
      <c r="ABZ14" s="219" t="s">
        <v>152</v>
      </c>
      <c r="ACA14" s="61">
        <v>3</v>
      </c>
      <c r="ACB14" s="61">
        <v>4050</v>
      </c>
      <c r="ACC14" s="61">
        <v>2594</v>
      </c>
      <c r="ACD14" s="219" t="s">
        <v>152</v>
      </c>
      <c r="ACE14" s="61">
        <v>3</v>
      </c>
      <c r="ACF14" s="61">
        <v>4050</v>
      </c>
      <c r="ACG14" s="61">
        <v>2594</v>
      </c>
      <c r="ACH14" s="219" t="s">
        <v>152</v>
      </c>
      <c r="ACI14" s="61">
        <v>3</v>
      </c>
      <c r="ACJ14" s="61">
        <v>4050</v>
      </c>
      <c r="ACK14" s="61">
        <v>2594</v>
      </c>
      <c r="ACL14" s="219" t="s">
        <v>152</v>
      </c>
      <c r="ACM14" s="61">
        <v>3</v>
      </c>
      <c r="ACN14" s="61">
        <v>4050</v>
      </c>
      <c r="ACO14" s="61">
        <v>2594</v>
      </c>
      <c r="ACP14" s="219" t="s">
        <v>152</v>
      </c>
      <c r="ACQ14" s="61">
        <v>3</v>
      </c>
      <c r="ACR14" s="61">
        <v>4050</v>
      </c>
      <c r="ACS14" s="61">
        <v>2594</v>
      </c>
      <c r="ACT14" s="219" t="s">
        <v>152</v>
      </c>
      <c r="ACU14" s="61">
        <v>3</v>
      </c>
      <c r="ACV14" s="61">
        <v>4050</v>
      </c>
      <c r="ACW14" s="61">
        <v>2594</v>
      </c>
      <c r="ACX14" s="219" t="s">
        <v>152</v>
      </c>
      <c r="ACY14" s="61">
        <v>3</v>
      </c>
      <c r="ACZ14" s="61">
        <v>4050</v>
      </c>
      <c r="ADA14" s="61">
        <v>2594</v>
      </c>
      <c r="ADB14" s="219" t="s">
        <v>152</v>
      </c>
      <c r="ADC14" s="61">
        <v>3</v>
      </c>
      <c r="ADD14" s="61">
        <v>4050</v>
      </c>
      <c r="ADE14" s="61">
        <v>2594</v>
      </c>
      <c r="ADF14" s="219" t="s">
        <v>152</v>
      </c>
      <c r="ADG14" s="61">
        <v>3</v>
      </c>
      <c r="ADH14" s="61">
        <v>4050</v>
      </c>
      <c r="ADI14" s="61">
        <v>2594</v>
      </c>
      <c r="ADJ14" s="219" t="s">
        <v>152</v>
      </c>
      <c r="ADK14" s="61">
        <v>3</v>
      </c>
      <c r="ADL14" s="61">
        <v>4050</v>
      </c>
      <c r="ADM14" s="61">
        <v>2594</v>
      </c>
      <c r="ADN14" s="219" t="s">
        <v>152</v>
      </c>
      <c r="ADO14" s="61">
        <v>3</v>
      </c>
      <c r="ADP14" s="61">
        <v>4050</v>
      </c>
      <c r="ADQ14" s="61">
        <v>2594</v>
      </c>
      <c r="ADR14" s="219" t="s">
        <v>152</v>
      </c>
      <c r="ADS14" s="61">
        <v>3</v>
      </c>
      <c r="ADT14" s="61">
        <v>4050</v>
      </c>
      <c r="ADU14" s="61">
        <v>2594</v>
      </c>
      <c r="ADV14" s="219" t="s">
        <v>152</v>
      </c>
      <c r="ADW14" s="61">
        <v>3</v>
      </c>
      <c r="ADX14" s="61">
        <v>4050</v>
      </c>
      <c r="ADY14" s="61">
        <v>2594</v>
      </c>
      <c r="ADZ14" s="219" t="s">
        <v>152</v>
      </c>
      <c r="AEA14" s="61">
        <v>3</v>
      </c>
      <c r="AEB14" s="61">
        <v>4050</v>
      </c>
      <c r="AEC14" s="61">
        <v>2594</v>
      </c>
      <c r="AED14" s="219" t="s">
        <v>152</v>
      </c>
      <c r="AEE14" s="61">
        <v>3</v>
      </c>
      <c r="AEF14" s="61">
        <v>4050</v>
      </c>
      <c r="AEG14" s="61">
        <v>2594</v>
      </c>
      <c r="AEH14" s="219" t="s">
        <v>152</v>
      </c>
      <c r="AEI14" s="61">
        <v>3</v>
      </c>
      <c r="AEJ14" s="61">
        <v>4050</v>
      </c>
      <c r="AEK14" s="61">
        <v>2594</v>
      </c>
      <c r="AEL14" s="219" t="s">
        <v>152</v>
      </c>
      <c r="AEM14" s="61">
        <v>3</v>
      </c>
      <c r="AEN14" s="61">
        <v>4050</v>
      </c>
      <c r="AEO14" s="61">
        <v>2594</v>
      </c>
      <c r="AEP14" s="219" t="s">
        <v>152</v>
      </c>
      <c r="AEQ14" s="61">
        <v>3</v>
      </c>
      <c r="AER14" s="61">
        <v>4050</v>
      </c>
      <c r="AES14" s="61">
        <v>2594</v>
      </c>
      <c r="AET14" s="219" t="s">
        <v>152</v>
      </c>
      <c r="AEU14" s="61">
        <v>3</v>
      </c>
      <c r="AEV14" s="61">
        <v>4050</v>
      </c>
      <c r="AEW14" s="61">
        <v>2594</v>
      </c>
      <c r="AEX14" s="219" t="s">
        <v>152</v>
      </c>
      <c r="AEY14" s="61">
        <v>3</v>
      </c>
      <c r="AEZ14" s="61">
        <v>4050</v>
      </c>
      <c r="AFA14" s="61">
        <v>2594</v>
      </c>
      <c r="AFB14" s="219" t="s">
        <v>152</v>
      </c>
      <c r="AFC14" s="61">
        <v>3</v>
      </c>
      <c r="AFD14" s="61">
        <v>4050</v>
      </c>
      <c r="AFE14" s="61">
        <v>2594</v>
      </c>
      <c r="AFF14" s="219" t="s">
        <v>152</v>
      </c>
      <c r="AFG14" s="61">
        <v>3</v>
      </c>
      <c r="AFH14" s="61">
        <v>4050</v>
      </c>
      <c r="AFI14" s="61">
        <v>2594</v>
      </c>
      <c r="AFJ14" s="219" t="s">
        <v>152</v>
      </c>
      <c r="AFK14" s="61">
        <v>3</v>
      </c>
      <c r="AFL14" s="61">
        <v>4050</v>
      </c>
      <c r="AFM14" s="61">
        <v>2594</v>
      </c>
      <c r="AFN14" s="219" t="s">
        <v>152</v>
      </c>
      <c r="AFO14" s="61">
        <v>3</v>
      </c>
      <c r="AFP14" s="61">
        <v>4050</v>
      </c>
      <c r="AFQ14" s="61">
        <v>2594</v>
      </c>
      <c r="AFR14" s="219" t="s">
        <v>152</v>
      </c>
      <c r="AFS14" s="61">
        <v>3</v>
      </c>
      <c r="AFT14" s="61">
        <v>4050</v>
      </c>
      <c r="AFU14" s="61">
        <v>2594</v>
      </c>
      <c r="AFV14" s="219" t="s">
        <v>152</v>
      </c>
      <c r="AFW14" s="61">
        <v>3</v>
      </c>
      <c r="AFX14" s="61">
        <v>4050</v>
      </c>
      <c r="AFY14" s="61">
        <v>2594</v>
      </c>
      <c r="AFZ14" s="219" t="s">
        <v>152</v>
      </c>
      <c r="AGA14" s="61">
        <v>3</v>
      </c>
      <c r="AGB14" s="61">
        <v>4050</v>
      </c>
      <c r="AGC14" s="61">
        <v>2594</v>
      </c>
      <c r="AGD14" s="219" t="s">
        <v>152</v>
      </c>
      <c r="AGE14" s="61">
        <v>3</v>
      </c>
      <c r="AGF14" s="61">
        <v>4050</v>
      </c>
      <c r="AGG14" s="61">
        <v>2594</v>
      </c>
      <c r="AGH14" s="219" t="s">
        <v>152</v>
      </c>
      <c r="AGI14" s="61">
        <v>3</v>
      </c>
      <c r="AGJ14" s="61">
        <v>4050</v>
      </c>
      <c r="AGK14" s="61">
        <v>2594</v>
      </c>
      <c r="AGL14" s="219" t="s">
        <v>152</v>
      </c>
      <c r="AGM14" s="61">
        <v>3</v>
      </c>
      <c r="AGN14" s="61">
        <v>4050</v>
      </c>
      <c r="AGO14" s="61">
        <v>2594</v>
      </c>
      <c r="AGP14" s="219" t="s">
        <v>152</v>
      </c>
      <c r="AGQ14" s="61">
        <v>3</v>
      </c>
      <c r="AGR14" s="61">
        <v>4050</v>
      </c>
      <c r="AGS14" s="61">
        <v>2594</v>
      </c>
      <c r="AGT14" s="219" t="s">
        <v>152</v>
      </c>
      <c r="AGU14" s="61">
        <v>3</v>
      </c>
      <c r="AGV14" s="61">
        <v>4050</v>
      </c>
      <c r="AGW14" s="61">
        <v>2594</v>
      </c>
      <c r="AGX14" s="219" t="s">
        <v>152</v>
      </c>
      <c r="AGY14" s="61">
        <v>3</v>
      </c>
      <c r="AGZ14" s="61">
        <v>4050</v>
      </c>
      <c r="AHA14" s="61">
        <v>2594</v>
      </c>
      <c r="AHB14" s="219" t="s">
        <v>152</v>
      </c>
      <c r="AHC14" s="61">
        <v>3</v>
      </c>
      <c r="AHD14" s="61">
        <v>4050</v>
      </c>
      <c r="AHE14" s="61">
        <v>2594</v>
      </c>
      <c r="AHF14" s="219" t="s">
        <v>152</v>
      </c>
      <c r="AHG14" s="61">
        <v>3</v>
      </c>
      <c r="AHH14" s="61">
        <v>4050</v>
      </c>
      <c r="AHI14" s="61">
        <v>2594</v>
      </c>
      <c r="AHJ14" s="219" t="s">
        <v>152</v>
      </c>
      <c r="AHK14" s="61">
        <v>3</v>
      </c>
      <c r="AHL14" s="61">
        <v>4050</v>
      </c>
      <c r="AHM14" s="61">
        <v>2594</v>
      </c>
      <c r="AHN14" s="219" t="s">
        <v>152</v>
      </c>
      <c r="AHO14" s="61">
        <v>3</v>
      </c>
      <c r="AHP14" s="61">
        <v>4050</v>
      </c>
      <c r="AHQ14" s="61">
        <v>2594</v>
      </c>
      <c r="AHR14" s="219" t="s">
        <v>152</v>
      </c>
      <c r="AHS14" s="61">
        <v>3</v>
      </c>
      <c r="AHT14" s="61">
        <v>4050</v>
      </c>
      <c r="AHU14" s="61">
        <v>2594</v>
      </c>
      <c r="AHV14" s="219" t="s">
        <v>152</v>
      </c>
      <c r="AHW14" s="61">
        <v>3</v>
      </c>
      <c r="AHX14" s="61">
        <v>4050</v>
      </c>
      <c r="AHY14" s="61">
        <v>2594</v>
      </c>
      <c r="AHZ14" s="219" t="s">
        <v>152</v>
      </c>
      <c r="AIA14" s="61">
        <v>3</v>
      </c>
      <c r="AIB14" s="61">
        <v>4050</v>
      </c>
      <c r="AIC14" s="61">
        <v>2594</v>
      </c>
      <c r="AID14" s="219" t="s">
        <v>152</v>
      </c>
      <c r="AIE14" s="61">
        <v>3</v>
      </c>
      <c r="AIF14" s="61">
        <v>4050</v>
      </c>
      <c r="AIG14" s="61">
        <v>2594</v>
      </c>
      <c r="AIH14" s="219" t="s">
        <v>152</v>
      </c>
      <c r="AII14" s="61">
        <v>3</v>
      </c>
      <c r="AIJ14" s="61">
        <v>4050</v>
      </c>
      <c r="AIK14" s="61">
        <v>2594</v>
      </c>
      <c r="AIL14" s="219" t="s">
        <v>152</v>
      </c>
      <c r="AIM14" s="61">
        <v>3</v>
      </c>
      <c r="AIN14" s="61">
        <v>4050</v>
      </c>
      <c r="AIO14" s="61">
        <v>2594</v>
      </c>
      <c r="AIP14" s="219" t="s">
        <v>152</v>
      </c>
      <c r="AIQ14" s="61">
        <v>3</v>
      </c>
      <c r="AIR14" s="61">
        <v>4050</v>
      </c>
      <c r="AIS14" s="61">
        <v>2594</v>
      </c>
      <c r="AIT14" s="219" t="s">
        <v>152</v>
      </c>
      <c r="AIU14" s="61">
        <v>3</v>
      </c>
      <c r="AIV14" s="61">
        <v>4050</v>
      </c>
      <c r="AIW14" s="61">
        <v>2594</v>
      </c>
      <c r="AIX14" s="219" t="s">
        <v>152</v>
      </c>
      <c r="AIY14" s="61">
        <v>3</v>
      </c>
      <c r="AIZ14" s="61">
        <v>4050</v>
      </c>
      <c r="AJA14" s="61">
        <v>2594</v>
      </c>
      <c r="AJB14" s="219" t="s">
        <v>152</v>
      </c>
      <c r="AJC14" s="61">
        <v>3</v>
      </c>
      <c r="AJD14" s="61">
        <v>4050</v>
      </c>
      <c r="AJE14" s="61">
        <v>2594</v>
      </c>
      <c r="AJF14" s="219" t="s">
        <v>152</v>
      </c>
      <c r="AJG14" s="61">
        <v>3</v>
      </c>
      <c r="AJH14" s="61">
        <v>4050</v>
      </c>
      <c r="AJI14" s="61">
        <v>2594</v>
      </c>
      <c r="AJJ14" s="219" t="s">
        <v>152</v>
      </c>
      <c r="AJK14" s="61">
        <v>3</v>
      </c>
      <c r="AJL14" s="61">
        <v>4050</v>
      </c>
      <c r="AJM14" s="61">
        <v>2594</v>
      </c>
      <c r="AJN14" s="219" t="s">
        <v>152</v>
      </c>
      <c r="AJO14" s="61">
        <v>3</v>
      </c>
      <c r="AJP14" s="61">
        <v>4050</v>
      </c>
      <c r="AJQ14" s="61">
        <v>2594</v>
      </c>
      <c r="AJR14" s="219" t="s">
        <v>152</v>
      </c>
      <c r="AJS14" s="61">
        <v>3</v>
      </c>
      <c r="AJT14" s="61">
        <v>4050</v>
      </c>
      <c r="AJU14" s="61">
        <v>2594</v>
      </c>
      <c r="AJV14" s="219" t="s">
        <v>152</v>
      </c>
      <c r="AJW14" s="61">
        <v>3</v>
      </c>
      <c r="AJX14" s="61">
        <v>4050</v>
      </c>
      <c r="AJY14" s="61">
        <v>2594</v>
      </c>
      <c r="AJZ14" s="219" t="s">
        <v>152</v>
      </c>
      <c r="AKA14" s="61">
        <v>3</v>
      </c>
      <c r="AKB14" s="61">
        <v>4050</v>
      </c>
      <c r="AKC14" s="61">
        <v>2594</v>
      </c>
      <c r="AKD14" s="219" t="s">
        <v>152</v>
      </c>
      <c r="AKE14" s="61">
        <v>3</v>
      </c>
      <c r="AKF14" s="61">
        <v>4050</v>
      </c>
      <c r="AKG14" s="61">
        <v>2594</v>
      </c>
      <c r="AKH14" s="219" t="s">
        <v>152</v>
      </c>
      <c r="AKI14" s="61">
        <v>3</v>
      </c>
      <c r="AKJ14" s="61">
        <v>4050</v>
      </c>
      <c r="AKK14" s="61">
        <v>2594</v>
      </c>
      <c r="AKL14" s="219" t="s">
        <v>152</v>
      </c>
      <c r="AKM14" s="61">
        <v>3</v>
      </c>
      <c r="AKN14" s="61">
        <v>4050</v>
      </c>
      <c r="AKO14" s="61">
        <v>2594</v>
      </c>
      <c r="AKP14" s="219" t="s">
        <v>152</v>
      </c>
      <c r="AKQ14" s="61">
        <v>3</v>
      </c>
      <c r="AKR14" s="61">
        <v>4050</v>
      </c>
      <c r="AKS14" s="61">
        <v>2594</v>
      </c>
      <c r="AKT14" s="219" t="s">
        <v>152</v>
      </c>
      <c r="AKU14" s="61">
        <v>3</v>
      </c>
      <c r="AKV14" s="61">
        <v>4050</v>
      </c>
      <c r="AKW14" s="61">
        <v>2594</v>
      </c>
      <c r="AKX14" s="219" t="s">
        <v>152</v>
      </c>
      <c r="AKY14" s="61">
        <v>3</v>
      </c>
      <c r="AKZ14" s="61">
        <v>4050</v>
      </c>
      <c r="ALA14" s="61">
        <v>2594</v>
      </c>
      <c r="ALB14" s="219" t="s">
        <v>152</v>
      </c>
      <c r="ALC14" s="61">
        <v>3</v>
      </c>
      <c r="ALD14" s="61">
        <v>4050</v>
      </c>
      <c r="ALE14" s="61">
        <v>2594</v>
      </c>
      <c r="ALF14" s="219" t="s">
        <v>152</v>
      </c>
      <c r="ALG14" s="61">
        <v>3</v>
      </c>
      <c r="ALH14" s="61">
        <v>4050</v>
      </c>
      <c r="ALI14" s="61">
        <v>2594</v>
      </c>
      <c r="ALJ14" s="219" t="s">
        <v>152</v>
      </c>
      <c r="ALK14" s="61">
        <v>3</v>
      </c>
      <c r="ALL14" s="61">
        <v>4050</v>
      </c>
      <c r="ALM14" s="61">
        <v>2594</v>
      </c>
      <c r="ALN14" s="219" t="s">
        <v>152</v>
      </c>
      <c r="ALO14" s="61">
        <v>3</v>
      </c>
      <c r="ALP14" s="61">
        <v>4050</v>
      </c>
      <c r="ALQ14" s="61">
        <v>2594</v>
      </c>
      <c r="ALR14" s="219" t="s">
        <v>152</v>
      </c>
      <c r="ALS14" s="61">
        <v>3</v>
      </c>
      <c r="ALT14" s="61">
        <v>4050</v>
      </c>
      <c r="ALU14" s="61">
        <v>2594</v>
      </c>
      <c r="ALV14" s="219" t="s">
        <v>152</v>
      </c>
      <c r="ALW14" s="61">
        <v>3</v>
      </c>
      <c r="ALX14" s="61">
        <v>4050</v>
      </c>
      <c r="ALY14" s="61">
        <v>2594</v>
      </c>
      <c r="ALZ14" s="219" t="s">
        <v>152</v>
      </c>
      <c r="AMA14" s="61">
        <v>3</v>
      </c>
      <c r="AMB14" s="61">
        <v>4050</v>
      </c>
      <c r="AMC14" s="61">
        <v>2594</v>
      </c>
      <c r="AMD14" s="219" t="s">
        <v>152</v>
      </c>
      <c r="AME14" s="61">
        <v>3</v>
      </c>
      <c r="AMF14" s="61">
        <v>4050</v>
      </c>
      <c r="AMG14" s="61">
        <v>2594</v>
      </c>
      <c r="AMH14" s="219" t="s">
        <v>152</v>
      </c>
      <c r="AMI14" s="61">
        <v>3</v>
      </c>
      <c r="AMJ14" s="61">
        <v>4050</v>
      </c>
      <c r="AMK14" s="61">
        <v>2594</v>
      </c>
      <c r="AML14" s="219" t="s">
        <v>152</v>
      </c>
      <c r="AMM14" s="61">
        <v>3</v>
      </c>
      <c r="AMN14" s="61">
        <v>4050</v>
      </c>
      <c r="AMO14" s="61">
        <v>2594</v>
      </c>
      <c r="AMP14" s="219" t="s">
        <v>152</v>
      </c>
      <c r="AMQ14" s="61">
        <v>3</v>
      </c>
      <c r="AMR14" s="61">
        <v>4050</v>
      </c>
      <c r="AMS14" s="61">
        <v>2594</v>
      </c>
      <c r="AMT14" s="219" t="s">
        <v>152</v>
      </c>
      <c r="AMU14" s="61">
        <v>3</v>
      </c>
      <c r="AMV14" s="61">
        <v>4050</v>
      </c>
      <c r="AMW14" s="61">
        <v>2594</v>
      </c>
      <c r="AMX14" s="219" t="s">
        <v>152</v>
      </c>
      <c r="AMY14" s="61">
        <v>3</v>
      </c>
      <c r="AMZ14" s="61">
        <v>4050</v>
      </c>
      <c r="ANA14" s="61">
        <v>2594</v>
      </c>
      <c r="ANB14" s="219" t="s">
        <v>152</v>
      </c>
      <c r="ANC14" s="61">
        <v>3</v>
      </c>
      <c r="AND14" s="61">
        <v>4050</v>
      </c>
      <c r="ANE14" s="61">
        <v>2594</v>
      </c>
      <c r="ANF14" s="219" t="s">
        <v>152</v>
      </c>
      <c r="ANG14" s="61">
        <v>3</v>
      </c>
      <c r="ANH14" s="61">
        <v>4050</v>
      </c>
      <c r="ANI14" s="61">
        <v>2594</v>
      </c>
      <c r="ANJ14" s="219" t="s">
        <v>152</v>
      </c>
      <c r="ANK14" s="61">
        <v>3</v>
      </c>
      <c r="ANL14" s="61">
        <v>4050</v>
      </c>
      <c r="ANM14" s="61">
        <v>2594</v>
      </c>
      <c r="ANN14" s="219" t="s">
        <v>152</v>
      </c>
      <c r="ANO14" s="61">
        <v>3</v>
      </c>
      <c r="ANP14" s="61">
        <v>4050</v>
      </c>
      <c r="ANQ14" s="61">
        <v>2594</v>
      </c>
      <c r="ANR14" s="219" t="s">
        <v>152</v>
      </c>
      <c r="ANS14" s="61">
        <v>3</v>
      </c>
      <c r="ANT14" s="61">
        <v>4050</v>
      </c>
      <c r="ANU14" s="61">
        <v>2594</v>
      </c>
      <c r="ANV14" s="219" t="s">
        <v>152</v>
      </c>
      <c r="ANW14" s="61">
        <v>3</v>
      </c>
      <c r="ANX14" s="61">
        <v>4050</v>
      </c>
      <c r="ANY14" s="61">
        <v>2594</v>
      </c>
      <c r="ANZ14" s="219" t="s">
        <v>152</v>
      </c>
      <c r="AOA14" s="61">
        <v>3</v>
      </c>
      <c r="AOB14" s="61">
        <v>4050</v>
      </c>
      <c r="AOC14" s="61">
        <v>2594</v>
      </c>
      <c r="AOD14" s="219" t="s">
        <v>152</v>
      </c>
      <c r="AOE14" s="61">
        <v>3</v>
      </c>
      <c r="AOF14" s="61">
        <v>4050</v>
      </c>
      <c r="AOG14" s="61">
        <v>2594</v>
      </c>
      <c r="AOH14" s="219" t="s">
        <v>152</v>
      </c>
      <c r="AOI14" s="61">
        <v>3</v>
      </c>
      <c r="AOJ14" s="61">
        <v>4050</v>
      </c>
      <c r="AOK14" s="61">
        <v>2594</v>
      </c>
      <c r="AOL14" s="219" t="s">
        <v>152</v>
      </c>
      <c r="AOM14" s="61">
        <v>3</v>
      </c>
      <c r="AON14" s="61">
        <v>4050</v>
      </c>
      <c r="AOO14" s="61">
        <v>2594</v>
      </c>
      <c r="AOP14" s="219" t="s">
        <v>152</v>
      </c>
      <c r="AOQ14" s="61">
        <v>3</v>
      </c>
      <c r="AOR14" s="61">
        <v>4050</v>
      </c>
      <c r="AOS14" s="61">
        <v>2594</v>
      </c>
      <c r="AOT14" s="219" t="s">
        <v>152</v>
      </c>
      <c r="AOU14" s="61">
        <v>3</v>
      </c>
      <c r="AOV14" s="61">
        <v>4050</v>
      </c>
      <c r="AOW14" s="61">
        <v>2594</v>
      </c>
      <c r="AOX14" s="219" t="s">
        <v>152</v>
      </c>
      <c r="AOY14" s="61">
        <v>3</v>
      </c>
      <c r="AOZ14" s="61">
        <v>4050</v>
      </c>
      <c r="APA14" s="61">
        <v>2594</v>
      </c>
      <c r="APB14" s="219" t="s">
        <v>152</v>
      </c>
      <c r="APC14" s="61">
        <v>3</v>
      </c>
      <c r="APD14" s="61">
        <v>4050</v>
      </c>
      <c r="APE14" s="61">
        <v>2594</v>
      </c>
      <c r="APF14" s="219" t="s">
        <v>152</v>
      </c>
      <c r="APG14" s="61">
        <v>3</v>
      </c>
      <c r="APH14" s="61">
        <v>4050</v>
      </c>
      <c r="API14" s="61">
        <v>2594</v>
      </c>
      <c r="APJ14" s="219" t="s">
        <v>152</v>
      </c>
      <c r="APK14" s="61">
        <v>3</v>
      </c>
      <c r="APL14" s="61">
        <v>4050</v>
      </c>
      <c r="APM14" s="61">
        <v>2594</v>
      </c>
      <c r="APN14" s="219" t="s">
        <v>152</v>
      </c>
      <c r="APO14" s="61">
        <v>3</v>
      </c>
      <c r="APP14" s="61">
        <v>4050</v>
      </c>
      <c r="APQ14" s="61">
        <v>2594</v>
      </c>
      <c r="APR14" s="219" t="s">
        <v>152</v>
      </c>
      <c r="APS14" s="61">
        <v>3</v>
      </c>
      <c r="APT14" s="61">
        <v>4050</v>
      </c>
      <c r="APU14" s="61">
        <v>2594</v>
      </c>
      <c r="APV14" s="219" t="s">
        <v>152</v>
      </c>
      <c r="APW14" s="61">
        <v>3</v>
      </c>
      <c r="APX14" s="61">
        <v>4050</v>
      </c>
      <c r="APY14" s="61">
        <v>2594</v>
      </c>
      <c r="APZ14" s="219" t="s">
        <v>152</v>
      </c>
      <c r="AQA14" s="61">
        <v>3</v>
      </c>
      <c r="AQB14" s="61">
        <v>4050</v>
      </c>
      <c r="AQC14" s="61">
        <v>2594</v>
      </c>
      <c r="AQD14" s="219" t="s">
        <v>152</v>
      </c>
      <c r="AQE14" s="61">
        <v>3</v>
      </c>
      <c r="AQF14" s="61">
        <v>4050</v>
      </c>
      <c r="AQG14" s="61">
        <v>2594</v>
      </c>
      <c r="AQH14" s="219" t="s">
        <v>152</v>
      </c>
      <c r="AQI14" s="61">
        <v>3</v>
      </c>
      <c r="AQJ14" s="61">
        <v>4050</v>
      </c>
      <c r="AQK14" s="61">
        <v>2594</v>
      </c>
      <c r="AQL14" s="219" t="s">
        <v>152</v>
      </c>
      <c r="AQM14" s="61">
        <v>3</v>
      </c>
      <c r="AQN14" s="61">
        <v>4050</v>
      </c>
      <c r="AQO14" s="61">
        <v>2594</v>
      </c>
      <c r="AQP14" s="219" t="s">
        <v>152</v>
      </c>
      <c r="AQQ14" s="61">
        <v>3</v>
      </c>
      <c r="AQR14" s="61">
        <v>4050</v>
      </c>
      <c r="AQS14" s="61">
        <v>2594</v>
      </c>
      <c r="AQT14" s="219" t="s">
        <v>152</v>
      </c>
      <c r="AQU14" s="61">
        <v>3</v>
      </c>
      <c r="AQV14" s="61">
        <v>4050</v>
      </c>
      <c r="AQW14" s="61">
        <v>2594</v>
      </c>
      <c r="AQX14" s="219" t="s">
        <v>152</v>
      </c>
      <c r="AQY14" s="61">
        <v>3</v>
      </c>
      <c r="AQZ14" s="61">
        <v>4050</v>
      </c>
      <c r="ARA14" s="61">
        <v>2594</v>
      </c>
      <c r="ARB14" s="219" t="s">
        <v>152</v>
      </c>
      <c r="ARC14" s="61">
        <v>3</v>
      </c>
      <c r="ARD14" s="61">
        <v>4050</v>
      </c>
      <c r="ARE14" s="61">
        <v>2594</v>
      </c>
      <c r="ARF14" s="219" t="s">
        <v>152</v>
      </c>
      <c r="ARG14" s="61">
        <v>3</v>
      </c>
      <c r="ARH14" s="61">
        <v>4050</v>
      </c>
      <c r="ARI14" s="61">
        <v>2594</v>
      </c>
      <c r="ARJ14" s="219" t="s">
        <v>152</v>
      </c>
      <c r="ARK14" s="61">
        <v>3</v>
      </c>
      <c r="ARL14" s="61">
        <v>4050</v>
      </c>
      <c r="ARM14" s="61">
        <v>2594</v>
      </c>
      <c r="ARN14" s="219" t="s">
        <v>152</v>
      </c>
      <c r="ARO14" s="61">
        <v>3</v>
      </c>
      <c r="ARP14" s="61">
        <v>4050</v>
      </c>
      <c r="ARQ14" s="61">
        <v>2594</v>
      </c>
      <c r="ARR14" s="219" t="s">
        <v>152</v>
      </c>
      <c r="ARS14" s="61">
        <v>3</v>
      </c>
      <c r="ART14" s="61">
        <v>4050</v>
      </c>
      <c r="ARU14" s="61">
        <v>2594</v>
      </c>
      <c r="ARV14" s="219" t="s">
        <v>152</v>
      </c>
      <c r="ARW14" s="61">
        <v>3</v>
      </c>
      <c r="ARX14" s="61">
        <v>4050</v>
      </c>
      <c r="ARY14" s="61">
        <v>2594</v>
      </c>
      <c r="ARZ14" s="219" t="s">
        <v>152</v>
      </c>
      <c r="ASA14" s="61">
        <v>3</v>
      </c>
      <c r="ASB14" s="61">
        <v>4050</v>
      </c>
      <c r="ASC14" s="61">
        <v>2594</v>
      </c>
      <c r="ASD14" s="219" t="s">
        <v>152</v>
      </c>
      <c r="ASE14" s="61">
        <v>3</v>
      </c>
      <c r="ASF14" s="61">
        <v>4050</v>
      </c>
      <c r="ASG14" s="61">
        <v>2594</v>
      </c>
      <c r="ASH14" s="219" t="s">
        <v>152</v>
      </c>
      <c r="ASI14" s="61">
        <v>3</v>
      </c>
      <c r="ASJ14" s="61">
        <v>4050</v>
      </c>
      <c r="ASK14" s="61">
        <v>2594</v>
      </c>
      <c r="ASL14" s="219" t="s">
        <v>152</v>
      </c>
      <c r="ASM14" s="61">
        <v>3</v>
      </c>
      <c r="ASN14" s="61">
        <v>4050</v>
      </c>
      <c r="ASO14" s="61">
        <v>2594</v>
      </c>
      <c r="ASP14" s="219" t="s">
        <v>152</v>
      </c>
      <c r="ASQ14" s="61">
        <v>3</v>
      </c>
      <c r="ASR14" s="61">
        <v>4050</v>
      </c>
      <c r="ASS14" s="61">
        <v>2594</v>
      </c>
      <c r="AST14" s="219" t="s">
        <v>152</v>
      </c>
      <c r="ASU14" s="61">
        <v>3</v>
      </c>
      <c r="ASV14" s="61">
        <v>4050</v>
      </c>
      <c r="ASW14" s="61">
        <v>2594</v>
      </c>
      <c r="ASX14" s="219" t="s">
        <v>152</v>
      </c>
      <c r="ASY14" s="61">
        <v>3</v>
      </c>
      <c r="ASZ14" s="61">
        <v>4050</v>
      </c>
      <c r="ATA14" s="61">
        <v>2594</v>
      </c>
      <c r="ATB14" s="219" t="s">
        <v>152</v>
      </c>
      <c r="ATC14" s="61">
        <v>3</v>
      </c>
      <c r="ATD14" s="61">
        <v>4050</v>
      </c>
      <c r="ATE14" s="61">
        <v>2594</v>
      </c>
      <c r="ATF14" s="219" t="s">
        <v>152</v>
      </c>
      <c r="ATG14" s="61">
        <v>3</v>
      </c>
      <c r="ATH14" s="61">
        <v>4050</v>
      </c>
      <c r="ATI14" s="61">
        <v>2594</v>
      </c>
      <c r="ATJ14" s="219" t="s">
        <v>152</v>
      </c>
      <c r="ATK14" s="61">
        <v>3</v>
      </c>
      <c r="ATL14" s="61">
        <v>4050</v>
      </c>
      <c r="ATM14" s="61">
        <v>2594</v>
      </c>
      <c r="ATN14" s="219" t="s">
        <v>152</v>
      </c>
      <c r="ATO14" s="61">
        <v>3</v>
      </c>
      <c r="ATP14" s="61">
        <v>4050</v>
      </c>
      <c r="ATQ14" s="61">
        <v>2594</v>
      </c>
      <c r="ATR14" s="219" t="s">
        <v>152</v>
      </c>
      <c r="ATS14" s="61">
        <v>3</v>
      </c>
      <c r="ATT14" s="61">
        <v>4050</v>
      </c>
      <c r="ATU14" s="61">
        <v>2594</v>
      </c>
      <c r="ATV14" s="219" t="s">
        <v>152</v>
      </c>
      <c r="ATW14" s="61">
        <v>3</v>
      </c>
      <c r="ATX14" s="61">
        <v>4050</v>
      </c>
      <c r="ATY14" s="61">
        <v>2594</v>
      </c>
      <c r="ATZ14" s="219" t="s">
        <v>152</v>
      </c>
      <c r="AUA14" s="61">
        <v>3</v>
      </c>
      <c r="AUB14" s="61">
        <v>4050</v>
      </c>
      <c r="AUC14" s="61">
        <v>2594</v>
      </c>
      <c r="AUD14" s="219" t="s">
        <v>152</v>
      </c>
      <c r="AUE14" s="61">
        <v>3</v>
      </c>
      <c r="AUF14" s="61">
        <v>4050</v>
      </c>
      <c r="AUG14" s="61">
        <v>2594</v>
      </c>
      <c r="AUH14" s="219" t="s">
        <v>152</v>
      </c>
      <c r="AUI14" s="61">
        <v>3</v>
      </c>
      <c r="AUJ14" s="61">
        <v>4050</v>
      </c>
      <c r="AUK14" s="61">
        <v>2594</v>
      </c>
      <c r="AUL14" s="219" t="s">
        <v>152</v>
      </c>
      <c r="AUM14" s="61">
        <v>3</v>
      </c>
      <c r="AUN14" s="61">
        <v>4050</v>
      </c>
      <c r="AUO14" s="61">
        <v>2594</v>
      </c>
      <c r="AUP14" s="219" t="s">
        <v>152</v>
      </c>
      <c r="AUQ14" s="61">
        <v>3</v>
      </c>
      <c r="AUR14" s="61">
        <v>4050</v>
      </c>
      <c r="AUS14" s="61">
        <v>2594</v>
      </c>
      <c r="AUT14" s="219" t="s">
        <v>152</v>
      </c>
      <c r="AUU14" s="61">
        <v>3</v>
      </c>
      <c r="AUV14" s="61">
        <v>4050</v>
      </c>
      <c r="AUW14" s="61">
        <v>2594</v>
      </c>
      <c r="AUX14" s="219" t="s">
        <v>152</v>
      </c>
      <c r="AUY14" s="61">
        <v>3</v>
      </c>
      <c r="AUZ14" s="61">
        <v>4050</v>
      </c>
      <c r="AVA14" s="61">
        <v>2594</v>
      </c>
      <c r="AVB14" s="219" t="s">
        <v>152</v>
      </c>
      <c r="AVC14" s="61">
        <v>3</v>
      </c>
      <c r="AVD14" s="61">
        <v>4050</v>
      </c>
      <c r="AVE14" s="61">
        <v>2594</v>
      </c>
      <c r="AVF14" s="219" t="s">
        <v>152</v>
      </c>
      <c r="AVG14" s="61">
        <v>3</v>
      </c>
      <c r="AVH14" s="61">
        <v>4050</v>
      </c>
      <c r="AVI14" s="61">
        <v>2594</v>
      </c>
      <c r="AVJ14" s="219" t="s">
        <v>152</v>
      </c>
      <c r="AVK14" s="61">
        <v>3</v>
      </c>
      <c r="AVL14" s="61">
        <v>4050</v>
      </c>
      <c r="AVM14" s="61">
        <v>2594</v>
      </c>
      <c r="AVN14" s="219" t="s">
        <v>152</v>
      </c>
      <c r="AVO14" s="61">
        <v>3</v>
      </c>
      <c r="AVP14" s="61">
        <v>4050</v>
      </c>
      <c r="AVQ14" s="61">
        <v>2594</v>
      </c>
      <c r="AVR14" s="219" t="s">
        <v>152</v>
      </c>
      <c r="AVS14" s="61">
        <v>3</v>
      </c>
      <c r="AVT14" s="61">
        <v>4050</v>
      </c>
      <c r="AVU14" s="61">
        <v>2594</v>
      </c>
      <c r="AVV14" s="219" t="s">
        <v>152</v>
      </c>
      <c r="AVW14" s="61">
        <v>3</v>
      </c>
      <c r="AVX14" s="61">
        <v>4050</v>
      </c>
      <c r="AVY14" s="61">
        <v>2594</v>
      </c>
      <c r="AVZ14" s="219" t="s">
        <v>152</v>
      </c>
      <c r="AWA14" s="61">
        <v>3</v>
      </c>
      <c r="AWB14" s="61">
        <v>4050</v>
      </c>
      <c r="AWC14" s="61">
        <v>2594</v>
      </c>
      <c r="AWD14" s="219" t="s">
        <v>152</v>
      </c>
      <c r="AWE14" s="61">
        <v>3</v>
      </c>
      <c r="AWF14" s="61">
        <v>4050</v>
      </c>
      <c r="AWG14" s="61">
        <v>2594</v>
      </c>
      <c r="AWH14" s="219" t="s">
        <v>152</v>
      </c>
      <c r="AWI14" s="61">
        <v>3</v>
      </c>
      <c r="AWJ14" s="61">
        <v>4050</v>
      </c>
      <c r="AWK14" s="61">
        <v>2594</v>
      </c>
      <c r="AWL14" s="219" t="s">
        <v>152</v>
      </c>
      <c r="AWM14" s="61">
        <v>3</v>
      </c>
      <c r="AWN14" s="61">
        <v>4050</v>
      </c>
      <c r="AWO14" s="61">
        <v>2594</v>
      </c>
      <c r="AWP14" s="219" t="s">
        <v>152</v>
      </c>
      <c r="AWQ14" s="61">
        <v>3</v>
      </c>
      <c r="AWR14" s="61">
        <v>4050</v>
      </c>
      <c r="AWS14" s="61">
        <v>2594</v>
      </c>
      <c r="AWT14" s="219" t="s">
        <v>152</v>
      </c>
      <c r="AWU14" s="61">
        <v>3</v>
      </c>
      <c r="AWV14" s="61">
        <v>4050</v>
      </c>
      <c r="AWW14" s="61">
        <v>2594</v>
      </c>
      <c r="AWX14" s="219" t="s">
        <v>152</v>
      </c>
      <c r="AWY14" s="61">
        <v>3</v>
      </c>
      <c r="AWZ14" s="61">
        <v>4050</v>
      </c>
      <c r="AXA14" s="61">
        <v>2594</v>
      </c>
      <c r="AXB14" s="219" t="s">
        <v>152</v>
      </c>
      <c r="AXC14" s="61">
        <v>3</v>
      </c>
      <c r="AXD14" s="61">
        <v>4050</v>
      </c>
      <c r="AXE14" s="61">
        <v>2594</v>
      </c>
      <c r="AXF14" s="219" t="s">
        <v>152</v>
      </c>
      <c r="AXG14" s="61">
        <v>3</v>
      </c>
      <c r="AXH14" s="61">
        <v>4050</v>
      </c>
      <c r="AXI14" s="61">
        <v>2594</v>
      </c>
      <c r="AXJ14" s="219" t="s">
        <v>152</v>
      </c>
      <c r="AXK14" s="61">
        <v>3</v>
      </c>
      <c r="AXL14" s="61">
        <v>4050</v>
      </c>
      <c r="AXM14" s="61">
        <v>2594</v>
      </c>
      <c r="AXN14" s="219" t="s">
        <v>152</v>
      </c>
      <c r="AXO14" s="61">
        <v>3</v>
      </c>
      <c r="AXP14" s="61">
        <v>4050</v>
      </c>
      <c r="AXQ14" s="61">
        <v>2594</v>
      </c>
      <c r="AXR14" s="219" t="s">
        <v>152</v>
      </c>
      <c r="AXS14" s="61">
        <v>3</v>
      </c>
      <c r="AXT14" s="61">
        <v>4050</v>
      </c>
      <c r="AXU14" s="61">
        <v>2594</v>
      </c>
      <c r="AXV14" s="219" t="s">
        <v>152</v>
      </c>
      <c r="AXW14" s="61">
        <v>3</v>
      </c>
      <c r="AXX14" s="61">
        <v>4050</v>
      </c>
      <c r="AXY14" s="61">
        <v>2594</v>
      </c>
      <c r="AXZ14" s="219" t="s">
        <v>152</v>
      </c>
      <c r="AYA14" s="61">
        <v>3</v>
      </c>
      <c r="AYB14" s="61">
        <v>4050</v>
      </c>
      <c r="AYC14" s="61">
        <v>2594</v>
      </c>
      <c r="AYD14" s="219" t="s">
        <v>152</v>
      </c>
      <c r="AYE14" s="61">
        <v>3</v>
      </c>
      <c r="AYF14" s="61">
        <v>4050</v>
      </c>
      <c r="AYG14" s="61">
        <v>2594</v>
      </c>
      <c r="AYH14" s="219" t="s">
        <v>152</v>
      </c>
      <c r="AYI14" s="61">
        <v>3</v>
      </c>
      <c r="AYJ14" s="61">
        <v>4050</v>
      </c>
      <c r="AYK14" s="61">
        <v>2594</v>
      </c>
      <c r="AYL14" s="219" t="s">
        <v>152</v>
      </c>
      <c r="AYM14" s="61">
        <v>3</v>
      </c>
      <c r="AYN14" s="61">
        <v>4050</v>
      </c>
      <c r="AYO14" s="61">
        <v>2594</v>
      </c>
      <c r="AYP14" s="219" t="s">
        <v>152</v>
      </c>
      <c r="AYQ14" s="61">
        <v>3</v>
      </c>
      <c r="AYR14" s="61">
        <v>4050</v>
      </c>
      <c r="AYS14" s="61">
        <v>2594</v>
      </c>
      <c r="AYT14" s="219" t="s">
        <v>152</v>
      </c>
      <c r="AYU14" s="61">
        <v>3</v>
      </c>
      <c r="AYV14" s="61">
        <v>4050</v>
      </c>
      <c r="AYW14" s="61">
        <v>2594</v>
      </c>
      <c r="AYX14" s="219" t="s">
        <v>152</v>
      </c>
      <c r="AYY14" s="61">
        <v>3</v>
      </c>
      <c r="AYZ14" s="61">
        <v>4050</v>
      </c>
      <c r="AZA14" s="61">
        <v>2594</v>
      </c>
      <c r="AZB14" s="219" t="s">
        <v>152</v>
      </c>
      <c r="AZC14" s="61">
        <v>3</v>
      </c>
      <c r="AZD14" s="61">
        <v>4050</v>
      </c>
      <c r="AZE14" s="61">
        <v>2594</v>
      </c>
      <c r="AZF14" s="219" t="s">
        <v>152</v>
      </c>
      <c r="AZG14" s="61">
        <v>3</v>
      </c>
      <c r="AZH14" s="61">
        <v>4050</v>
      </c>
      <c r="AZI14" s="61">
        <v>2594</v>
      </c>
      <c r="AZJ14" s="219" t="s">
        <v>152</v>
      </c>
      <c r="AZK14" s="61">
        <v>3</v>
      </c>
      <c r="AZL14" s="61">
        <v>4050</v>
      </c>
      <c r="AZM14" s="61">
        <v>2594</v>
      </c>
      <c r="AZN14" s="219" t="s">
        <v>152</v>
      </c>
      <c r="AZO14" s="61">
        <v>3</v>
      </c>
      <c r="AZP14" s="61">
        <v>4050</v>
      </c>
      <c r="AZQ14" s="61">
        <v>2594</v>
      </c>
      <c r="AZR14" s="219" t="s">
        <v>152</v>
      </c>
      <c r="AZS14" s="61">
        <v>3</v>
      </c>
      <c r="AZT14" s="61">
        <v>4050</v>
      </c>
      <c r="AZU14" s="61">
        <v>2594</v>
      </c>
      <c r="AZV14" s="219" t="s">
        <v>152</v>
      </c>
      <c r="AZW14" s="61">
        <v>3</v>
      </c>
      <c r="AZX14" s="61">
        <v>4050</v>
      </c>
      <c r="AZY14" s="61">
        <v>2594</v>
      </c>
      <c r="AZZ14" s="219" t="s">
        <v>152</v>
      </c>
      <c r="BAA14" s="61">
        <v>3</v>
      </c>
      <c r="BAB14" s="61">
        <v>4050</v>
      </c>
      <c r="BAC14" s="61">
        <v>2594</v>
      </c>
      <c r="BAD14" s="219" t="s">
        <v>152</v>
      </c>
      <c r="BAE14" s="61">
        <v>3</v>
      </c>
      <c r="BAF14" s="61">
        <v>4050</v>
      </c>
      <c r="BAG14" s="61">
        <v>2594</v>
      </c>
      <c r="BAH14" s="219" t="s">
        <v>152</v>
      </c>
      <c r="BAI14" s="61">
        <v>3</v>
      </c>
      <c r="BAJ14" s="61">
        <v>4050</v>
      </c>
      <c r="BAK14" s="61">
        <v>2594</v>
      </c>
      <c r="BAL14" s="219" t="s">
        <v>152</v>
      </c>
      <c r="BAM14" s="61">
        <v>3</v>
      </c>
      <c r="BAN14" s="61">
        <v>4050</v>
      </c>
      <c r="BAO14" s="61">
        <v>2594</v>
      </c>
      <c r="BAP14" s="219" t="s">
        <v>152</v>
      </c>
      <c r="BAQ14" s="61">
        <v>3</v>
      </c>
      <c r="BAR14" s="61">
        <v>4050</v>
      </c>
      <c r="BAS14" s="61">
        <v>2594</v>
      </c>
      <c r="BAT14" s="219" t="s">
        <v>152</v>
      </c>
      <c r="BAU14" s="61">
        <v>3</v>
      </c>
      <c r="BAV14" s="61">
        <v>4050</v>
      </c>
      <c r="BAW14" s="61">
        <v>2594</v>
      </c>
      <c r="BAX14" s="219" t="s">
        <v>152</v>
      </c>
      <c r="BAY14" s="61">
        <v>3</v>
      </c>
      <c r="BAZ14" s="61">
        <v>4050</v>
      </c>
      <c r="BBA14" s="61">
        <v>2594</v>
      </c>
      <c r="BBB14" s="219" t="s">
        <v>152</v>
      </c>
      <c r="BBC14" s="61">
        <v>3</v>
      </c>
      <c r="BBD14" s="61">
        <v>4050</v>
      </c>
      <c r="BBE14" s="61">
        <v>2594</v>
      </c>
      <c r="BBF14" s="219" t="s">
        <v>152</v>
      </c>
      <c r="BBG14" s="61">
        <v>3</v>
      </c>
      <c r="BBH14" s="61">
        <v>4050</v>
      </c>
      <c r="BBI14" s="61">
        <v>2594</v>
      </c>
      <c r="BBJ14" s="219" t="s">
        <v>152</v>
      </c>
      <c r="BBK14" s="61">
        <v>3</v>
      </c>
      <c r="BBL14" s="61">
        <v>4050</v>
      </c>
      <c r="BBM14" s="61">
        <v>2594</v>
      </c>
      <c r="BBN14" s="219" t="s">
        <v>152</v>
      </c>
      <c r="BBO14" s="61">
        <v>3</v>
      </c>
      <c r="BBP14" s="61">
        <v>4050</v>
      </c>
      <c r="BBQ14" s="61">
        <v>2594</v>
      </c>
      <c r="BBR14" s="219" t="s">
        <v>152</v>
      </c>
      <c r="BBS14" s="61">
        <v>3</v>
      </c>
      <c r="BBT14" s="61">
        <v>4050</v>
      </c>
      <c r="BBU14" s="61">
        <v>2594</v>
      </c>
      <c r="BBV14" s="219" t="s">
        <v>152</v>
      </c>
      <c r="BBW14" s="61">
        <v>3</v>
      </c>
      <c r="BBX14" s="61">
        <v>4050</v>
      </c>
      <c r="BBY14" s="61">
        <v>2594</v>
      </c>
      <c r="BBZ14" s="219" t="s">
        <v>152</v>
      </c>
      <c r="BCA14" s="61">
        <v>3</v>
      </c>
      <c r="BCB14" s="61">
        <v>4050</v>
      </c>
      <c r="BCC14" s="61">
        <v>2594</v>
      </c>
      <c r="BCD14" s="219" t="s">
        <v>152</v>
      </c>
      <c r="BCE14" s="61">
        <v>3</v>
      </c>
      <c r="BCF14" s="61">
        <v>4050</v>
      </c>
      <c r="BCG14" s="61">
        <v>2594</v>
      </c>
      <c r="BCH14" s="219" t="s">
        <v>152</v>
      </c>
      <c r="BCI14" s="61">
        <v>3</v>
      </c>
      <c r="BCJ14" s="61">
        <v>4050</v>
      </c>
      <c r="BCK14" s="61">
        <v>2594</v>
      </c>
      <c r="BCL14" s="219" t="s">
        <v>152</v>
      </c>
      <c r="BCM14" s="61">
        <v>3</v>
      </c>
      <c r="BCN14" s="61">
        <v>4050</v>
      </c>
      <c r="BCO14" s="61">
        <v>2594</v>
      </c>
      <c r="BCP14" s="219" t="s">
        <v>152</v>
      </c>
      <c r="BCQ14" s="61">
        <v>3</v>
      </c>
      <c r="BCR14" s="61">
        <v>4050</v>
      </c>
      <c r="BCS14" s="61">
        <v>2594</v>
      </c>
      <c r="BCT14" s="219" t="s">
        <v>152</v>
      </c>
      <c r="BCU14" s="61">
        <v>3</v>
      </c>
      <c r="BCV14" s="61">
        <v>4050</v>
      </c>
      <c r="BCW14" s="61">
        <v>2594</v>
      </c>
      <c r="BCX14" s="219" t="s">
        <v>152</v>
      </c>
      <c r="BCY14" s="61">
        <v>3</v>
      </c>
      <c r="BCZ14" s="61">
        <v>4050</v>
      </c>
      <c r="BDA14" s="61">
        <v>2594</v>
      </c>
      <c r="BDB14" s="219" t="s">
        <v>152</v>
      </c>
      <c r="BDC14" s="61">
        <v>3</v>
      </c>
      <c r="BDD14" s="61">
        <v>4050</v>
      </c>
      <c r="BDE14" s="61">
        <v>2594</v>
      </c>
      <c r="BDF14" s="219" t="s">
        <v>152</v>
      </c>
      <c r="BDG14" s="61">
        <v>3</v>
      </c>
      <c r="BDH14" s="61">
        <v>4050</v>
      </c>
      <c r="BDI14" s="61">
        <v>2594</v>
      </c>
      <c r="BDJ14" s="219" t="s">
        <v>152</v>
      </c>
      <c r="BDK14" s="61">
        <v>3</v>
      </c>
      <c r="BDL14" s="61">
        <v>4050</v>
      </c>
      <c r="BDM14" s="61">
        <v>2594</v>
      </c>
      <c r="BDN14" s="219" t="s">
        <v>152</v>
      </c>
      <c r="BDO14" s="61">
        <v>3</v>
      </c>
      <c r="BDP14" s="61">
        <v>4050</v>
      </c>
      <c r="BDQ14" s="61">
        <v>2594</v>
      </c>
      <c r="BDR14" s="219" t="s">
        <v>152</v>
      </c>
      <c r="BDS14" s="61">
        <v>3</v>
      </c>
      <c r="BDT14" s="61">
        <v>4050</v>
      </c>
      <c r="BDU14" s="61">
        <v>2594</v>
      </c>
      <c r="BDV14" s="219" t="s">
        <v>152</v>
      </c>
      <c r="BDW14" s="61">
        <v>3</v>
      </c>
      <c r="BDX14" s="61">
        <v>4050</v>
      </c>
      <c r="BDY14" s="61">
        <v>2594</v>
      </c>
      <c r="BDZ14" s="219" t="s">
        <v>152</v>
      </c>
      <c r="BEA14" s="61">
        <v>3</v>
      </c>
      <c r="BEB14" s="61">
        <v>4050</v>
      </c>
      <c r="BEC14" s="61">
        <v>2594</v>
      </c>
      <c r="BED14" s="219" t="s">
        <v>152</v>
      </c>
      <c r="BEE14" s="61">
        <v>3</v>
      </c>
      <c r="BEF14" s="61">
        <v>4050</v>
      </c>
      <c r="BEG14" s="61">
        <v>2594</v>
      </c>
      <c r="BEH14" s="219" t="s">
        <v>152</v>
      </c>
      <c r="BEI14" s="61">
        <v>3</v>
      </c>
      <c r="BEJ14" s="61">
        <v>4050</v>
      </c>
      <c r="BEK14" s="61">
        <v>2594</v>
      </c>
      <c r="BEL14" s="219" t="s">
        <v>152</v>
      </c>
      <c r="BEM14" s="61">
        <v>3</v>
      </c>
      <c r="BEN14" s="61">
        <v>4050</v>
      </c>
      <c r="BEO14" s="61">
        <v>2594</v>
      </c>
      <c r="BEP14" s="219" t="s">
        <v>152</v>
      </c>
      <c r="BEQ14" s="61">
        <v>3</v>
      </c>
      <c r="BER14" s="61">
        <v>4050</v>
      </c>
      <c r="BES14" s="61">
        <v>2594</v>
      </c>
      <c r="BET14" s="219" t="s">
        <v>152</v>
      </c>
      <c r="BEU14" s="61">
        <v>3</v>
      </c>
      <c r="BEV14" s="61">
        <v>4050</v>
      </c>
      <c r="BEW14" s="61">
        <v>2594</v>
      </c>
      <c r="BEX14" s="219" t="s">
        <v>152</v>
      </c>
      <c r="BEY14" s="61">
        <v>3</v>
      </c>
      <c r="BEZ14" s="61">
        <v>4050</v>
      </c>
      <c r="BFA14" s="61">
        <v>2594</v>
      </c>
      <c r="BFB14" s="219" t="s">
        <v>152</v>
      </c>
      <c r="BFC14" s="61">
        <v>3</v>
      </c>
      <c r="BFD14" s="61">
        <v>4050</v>
      </c>
      <c r="BFE14" s="61">
        <v>2594</v>
      </c>
      <c r="BFF14" s="219" t="s">
        <v>152</v>
      </c>
      <c r="BFG14" s="61">
        <v>3</v>
      </c>
      <c r="BFH14" s="61">
        <v>4050</v>
      </c>
      <c r="BFI14" s="61">
        <v>2594</v>
      </c>
      <c r="BFJ14" s="219" t="s">
        <v>152</v>
      </c>
      <c r="BFK14" s="61">
        <v>3</v>
      </c>
      <c r="BFL14" s="61">
        <v>4050</v>
      </c>
      <c r="BFM14" s="61">
        <v>2594</v>
      </c>
      <c r="BFN14" s="219" t="s">
        <v>152</v>
      </c>
      <c r="BFO14" s="61">
        <v>3</v>
      </c>
      <c r="BFP14" s="61">
        <v>4050</v>
      </c>
      <c r="BFQ14" s="61">
        <v>2594</v>
      </c>
      <c r="BFR14" s="219" t="s">
        <v>152</v>
      </c>
      <c r="BFS14" s="61">
        <v>3</v>
      </c>
      <c r="BFT14" s="61">
        <v>4050</v>
      </c>
      <c r="BFU14" s="61">
        <v>2594</v>
      </c>
      <c r="BFV14" s="219" t="s">
        <v>152</v>
      </c>
      <c r="BFW14" s="61">
        <v>3</v>
      </c>
      <c r="BFX14" s="61">
        <v>4050</v>
      </c>
      <c r="BFY14" s="61">
        <v>2594</v>
      </c>
      <c r="BFZ14" s="219" t="s">
        <v>152</v>
      </c>
      <c r="BGA14" s="61">
        <v>3</v>
      </c>
      <c r="BGB14" s="61">
        <v>4050</v>
      </c>
      <c r="BGC14" s="61">
        <v>2594</v>
      </c>
      <c r="BGD14" s="219" t="s">
        <v>152</v>
      </c>
      <c r="BGE14" s="61">
        <v>3</v>
      </c>
      <c r="BGF14" s="61">
        <v>4050</v>
      </c>
      <c r="BGG14" s="61">
        <v>2594</v>
      </c>
      <c r="BGH14" s="219" t="s">
        <v>152</v>
      </c>
      <c r="BGI14" s="61">
        <v>3</v>
      </c>
      <c r="BGJ14" s="61">
        <v>4050</v>
      </c>
      <c r="BGK14" s="61">
        <v>2594</v>
      </c>
      <c r="BGL14" s="219" t="s">
        <v>152</v>
      </c>
      <c r="BGM14" s="61">
        <v>3</v>
      </c>
      <c r="BGN14" s="61">
        <v>4050</v>
      </c>
      <c r="BGO14" s="61">
        <v>2594</v>
      </c>
      <c r="BGP14" s="219" t="s">
        <v>152</v>
      </c>
      <c r="BGQ14" s="61">
        <v>3</v>
      </c>
      <c r="BGR14" s="61">
        <v>4050</v>
      </c>
      <c r="BGS14" s="61">
        <v>2594</v>
      </c>
      <c r="BGT14" s="219" t="s">
        <v>152</v>
      </c>
      <c r="BGU14" s="61">
        <v>3</v>
      </c>
      <c r="BGV14" s="61">
        <v>4050</v>
      </c>
      <c r="BGW14" s="61">
        <v>2594</v>
      </c>
      <c r="BGX14" s="219" t="s">
        <v>152</v>
      </c>
      <c r="BGY14" s="61">
        <v>3</v>
      </c>
      <c r="BGZ14" s="61">
        <v>4050</v>
      </c>
      <c r="BHA14" s="61">
        <v>2594</v>
      </c>
      <c r="BHB14" s="219" t="s">
        <v>152</v>
      </c>
      <c r="BHC14" s="61">
        <v>3</v>
      </c>
      <c r="BHD14" s="61">
        <v>4050</v>
      </c>
      <c r="BHE14" s="61">
        <v>2594</v>
      </c>
      <c r="BHF14" s="219" t="s">
        <v>152</v>
      </c>
      <c r="BHG14" s="61">
        <v>3</v>
      </c>
      <c r="BHH14" s="61">
        <v>4050</v>
      </c>
      <c r="BHI14" s="61">
        <v>2594</v>
      </c>
      <c r="BHJ14" s="219" t="s">
        <v>152</v>
      </c>
      <c r="BHK14" s="61">
        <v>3</v>
      </c>
      <c r="BHL14" s="61">
        <v>4050</v>
      </c>
      <c r="BHM14" s="61">
        <v>2594</v>
      </c>
      <c r="BHN14" s="219" t="s">
        <v>152</v>
      </c>
      <c r="BHO14" s="61">
        <v>3</v>
      </c>
      <c r="BHP14" s="61">
        <v>4050</v>
      </c>
      <c r="BHQ14" s="61">
        <v>2594</v>
      </c>
      <c r="BHR14" s="219" t="s">
        <v>152</v>
      </c>
      <c r="BHS14" s="61">
        <v>3</v>
      </c>
      <c r="BHT14" s="61">
        <v>4050</v>
      </c>
      <c r="BHU14" s="61">
        <v>2594</v>
      </c>
      <c r="BHV14" s="219" t="s">
        <v>152</v>
      </c>
      <c r="BHW14" s="61">
        <v>3</v>
      </c>
      <c r="BHX14" s="61">
        <v>4050</v>
      </c>
      <c r="BHY14" s="61">
        <v>2594</v>
      </c>
      <c r="BHZ14" s="219" t="s">
        <v>152</v>
      </c>
      <c r="BIA14" s="61">
        <v>3</v>
      </c>
      <c r="BIB14" s="61">
        <v>4050</v>
      </c>
      <c r="BIC14" s="61">
        <v>2594</v>
      </c>
      <c r="BID14" s="219" t="s">
        <v>152</v>
      </c>
      <c r="BIE14" s="61">
        <v>3</v>
      </c>
      <c r="BIF14" s="61">
        <v>4050</v>
      </c>
      <c r="BIG14" s="61">
        <v>2594</v>
      </c>
      <c r="BIH14" s="219" t="s">
        <v>152</v>
      </c>
      <c r="BII14" s="61">
        <v>3</v>
      </c>
      <c r="BIJ14" s="61">
        <v>4050</v>
      </c>
      <c r="BIK14" s="61">
        <v>2594</v>
      </c>
      <c r="BIL14" s="219" t="s">
        <v>152</v>
      </c>
      <c r="BIM14" s="61">
        <v>3</v>
      </c>
      <c r="BIN14" s="61">
        <v>4050</v>
      </c>
      <c r="BIO14" s="61">
        <v>2594</v>
      </c>
      <c r="BIP14" s="219" t="s">
        <v>152</v>
      </c>
      <c r="BIQ14" s="61">
        <v>3</v>
      </c>
      <c r="BIR14" s="61">
        <v>4050</v>
      </c>
      <c r="BIS14" s="61">
        <v>2594</v>
      </c>
      <c r="BIT14" s="219" t="s">
        <v>152</v>
      </c>
      <c r="BIU14" s="61">
        <v>3</v>
      </c>
      <c r="BIV14" s="61">
        <v>4050</v>
      </c>
      <c r="BIW14" s="61">
        <v>2594</v>
      </c>
      <c r="BIX14" s="219" t="s">
        <v>152</v>
      </c>
      <c r="BIY14" s="61">
        <v>3</v>
      </c>
      <c r="BIZ14" s="61">
        <v>4050</v>
      </c>
      <c r="BJA14" s="61">
        <v>2594</v>
      </c>
      <c r="BJB14" s="219" t="s">
        <v>152</v>
      </c>
      <c r="BJC14" s="61">
        <v>3</v>
      </c>
      <c r="BJD14" s="61">
        <v>4050</v>
      </c>
      <c r="BJE14" s="61">
        <v>2594</v>
      </c>
      <c r="BJF14" s="219" t="s">
        <v>152</v>
      </c>
      <c r="BJG14" s="61">
        <v>3</v>
      </c>
      <c r="BJH14" s="61">
        <v>4050</v>
      </c>
      <c r="BJI14" s="61">
        <v>2594</v>
      </c>
      <c r="BJJ14" s="219" t="s">
        <v>152</v>
      </c>
      <c r="BJK14" s="61">
        <v>3</v>
      </c>
      <c r="BJL14" s="61">
        <v>4050</v>
      </c>
      <c r="BJM14" s="61">
        <v>2594</v>
      </c>
      <c r="BJN14" s="219" t="s">
        <v>152</v>
      </c>
      <c r="BJO14" s="61">
        <v>3</v>
      </c>
      <c r="BJP14" s="61">
        <v>4050</v>
      </c>
      <c r="BJQ14" s="61">
        <v>2594</v>
      </c>
      <c r="BJR14" s="219" t="s">
        <v>152</v>
      </c>
      <c r="BJS14" s="61">
        <v>3</v>
      </c>
      <c r="BJT14" s="61">
        <v>4050</v>
      </c>
      <c r="BJU14" s="61">
        <v>2594</v>
      </c>
      <c r="BJV14" s="219" t="s">
        <v>152</v>
      </c>
      <c r="BJW14" s="61">
        <v>3</v>
      </c>
      <c r="BJX14" s="61">
        <v>4050</v>
      </c>
      <c r="BJY14" s="61">
        <v>2594</v>
      </c>
      <c r="BJZ14" s="219" t="s">
        <v>152</v>
      </c>
      <c r="BKA14" s="61">
        <v>3</v>
      </c>
      <c r="BKB14" s="61">
        <v>4050</v>
      </c>
      <c r="BKC14" s="61">
        <v>2594</v>
      </c>
      <c r="BKD14" s="219" t="s">
        <v>152</v>
      </c>
      <c r="BKE14" s="61">
        <v>3</v>
      </c>
      <c r="BKF14" s="61">
        <v>4050</v>
      </c>
      <c r="BKG14" s="61">
        <v>2594</v>
      </c>
      <c r="BKH14" s="219" t="s">
        <v>152</v>
      </c>
      <c r="BKI14" s="61">
        <v>3</v>
      </c>
      <c r="BKJ14" s="61">
        <v>4050</v>
      </c>
      <c r="BKK14" s="61">
        <v>2594</v>
      </c>
      <c r="BKL14" s="219" t="s">
        <v>152</v>
      </c>
      <c r="BKM14" s="61">
        <v>3</v>
      </c>
      <c r="BKN14" s="61">
        <v>4050</v>
      </c>
      <c r="BKO14" s="61">
        <v>2594</v>
      </c>
      <c r="BKP14" s="219" t="s">
        <v>152</v>
      </c>
      <c r="BKQ14" s="61">
        <v>3</v>
      </c>
      <c r="BKR14" s="61">
        <v>4050</v>
      </c>
      <c r="BKS14" s="61">
        <v>2594</v>
      </c>
      <c r="BKT14" s="219" t="s">
        <v>152</v>
      </c>
      <c r="BKU14" s="61">
        <v>3</v>
      </c>
      <c r="BKV14" s="61">
        <v>4050</v>
      </c>
      <c r="BKW14" s="61">
        <v>2594</v>
      </c>
      <c r="BKX14" s="219" t="s">
        <v>152</v>
      </c>
      <c r="BKY14" s="61">
        <v>3</v>
      </c>
      <c r="BKZ14" s="61">
        <v>4050</v>
      </c>
      <c r="BLA14" s="61">
        <v>2594</v>
      </c>
      <c r="BLB14" s="219" t="s">
        <v>152</v>
      </c>
      <c r="BLC14" s="61">
        <v>3</v>
      </c>
      <c r="BLD14" s="61">
        <v>4050</v>
      </c>
      <c r="BLE14" s="61">
        <v>2594</v>
      </c>
      <c r="BLF14" s="219" t="s">
        <v>152</v>
      </c>
      <c r="BLG14" s="61">
        <v>3</v>
      </c>
      <c r="BLH14" s="61">
        <v>4050</v>
      </c>
      <c r="BLI14" s="61">
        <v>2594</v>
      </c>
      <c r="BLJ14" s="219" t="s">
        <v>152</v>
      </c>
      <c r="BLK14" s="61">
        <v>3</v>
      </c>
      <c r="BLL14" s="61">
        <v>4050</v>
      </c>
      <c r="BLM14" s="61">
        <v>2594</v>
      </c>
      <c r="BLN14" s="219" t="s">
        <v>152</v>
      </c>
      <c r="BLO14" s="61">
        <v>3</v>
      </c>
      <c r="BLP14" s="61">
        <v>4050</v>
      </c>
      <c r="BLQ14" s="61">
        <v>2594</v>
      </c>
      <c r="BLR14" s="219" t="s">
        <v>152</v>
      </c>
      <c r="BLS14" s="61">
        <v>3</v>
      </c>
      <c r="BLT14" s="61">
        <v>4050</v>
      </c>
      <c r="BLU14" s="61">
        <v>2594</v>
      </c>
      <c r="BLV14" s="219" t="s">
        <v>152</v>
      </c>
      <c r="BLW14" s="61">
        <v>3</v>
      </c>
      <c r="BLX14" s="61">
        <v>4050</v>
      </c>
      <c r="BLY14" s="61">
        <v>2594</v>
      </c>
      <c r="BLZ14" s="219" t="s">
        <v>152</v>
      </c>
      <c r="BMA14" s="61">
        <v>3</v>
      </c>
      <c r="BMB14" s="61">
        <v>4050</v>
      </c>
      <c r="BMC14" s="61">
        <v>2594</v>
      </c>
      <c r="BMD14" s="219" t="s">
        <v>152</v>
      </c>
      <c r="BME14" s="61">
        <v>3</v>
      </c>
      <c r="BMF14" s="61">
        <v>4050</v>
      </c>
      <c r="BMG14" s="61">
        <v>2594</v>
      </c>
      <c r="BMH14" s="219" t="s">
        <v>152</v>
      </c>
      <c r="BMI14" s="61">
        <v>3</v>
      </c>
      <c r="BMJ14" s="61">
        <v>4050</v>
      </c>
      <c r="BMK14" s="61">
        <v>2594</v>
      </c>
      <c r="BML14" s="219" t="s">
        <v>152</v>
      </c>
      <c r="BMM14" s="61">
        <v>3</v>
      </c>
      <c r="BMN14" s="61">
        <v>4050</v>
      </c>
      <c r="BMO14" s="61">
        <v>2594</v>
      </c>
      <c r="BMP14" s="219" t="s">
        <v>152</v>
      </c>
      <c r="BMQ14" s="61">
        <v>3</v>
      </c>
      <c r="BMR14" s="61">
        <v>4050</v>
      </c>
      <c r="BMS14" s="61">
        <v>2594</v>
      </c>
      <c r="BMT14" s="219" t="s">
        <v>152</v>
      </c>
      <c r="BMU14" s="61">
        <v>3</v>
      </c>
      <c r="BMV14" s="61">
        <v>4050</v>
      </c>
      <c r="BMW14" s="61">
        <v>2594</v>
      </c>
      <c r="BMX14" s="219" t="s">
        <v>152</v>
      </c>
      <c r="BMY14" s="61">
        <v>3</v>
      </c>
      <c r="BMZ14" s="61">
        <v>4050</v>
      </c>
      <c r="BNA14" s="61">
        <v>2594</v>
      </c>
      <c r="BNB14" s="219" t="s">
        <v>152</v>
      </c>
      <c r="BNC14" s="61">
        <v>3</v>
      </c>
      <c r="BND14" s="61">
        <v>4050</v>
      </c>
      <c r="BNE14" s="61">
        <v>2594</v>
      </c>
      <c r="BNF14" s="219" t="s">
        <v>152</v>
      </c>
      <c r="BNG14" s="61">
        <v>3</v>
      </c>
      <c r="BNH14" s="61">
        <v>4050</v>
      </c>
      <c r="BNI14" s="61">
        <v>2594</v>
      </c>
      <c r="BNJ14" s="219" t="s">
        <v>152</v>
      </c>
      <c r="BNK14" s="61">
        <v>3</v>
      </c>
      <c r="BNL14" s="61">
        <v>4050</v>
      </c>
      <c r="BNM14" s="61">
        <v>2594</v>
      </c>
      <c r="BNN14" s="219" t="s">
        <v>152</v>
      </c>
      <c r="BNO14" s="61">
        <v>3</v>
      </c>
      <c r="BNP14" s="61">
        <v>4050</v>
      </c>
      <c r="BNQ14" s="61">
        <v>2594</v>
      </c>
      <c r="BNR14" s="219" t="s">
        <v>152</v>
      </c>
      <c r="BNS14" s="61">
        <v>3</v>
      </c>
      <c r="BNT14" s="61">
        <v>4050</v>
      </c>
      <c r="BNU14" s="61">
        <v>2594</v>
      </c>
      <c r="BNV14" s="219" t="s">
        <v>152</v>
      </c>
      <c r="BNW14" s="61">
        <v>3</v>
      </c>
      <c r="BNX14" s="61">
        <v>4050</v>
      </c>
      <c r="BNY14" s="61">
        <v>2594</v>
      </c>
      <c r="BNZ14" s="219" t="s">
        <v>152</v>
      </c>
      <c r="BOA14" s="61">
        <v>3</v>
      </c>
      <c r="BOB14" s="61">
        <v>4050</v>
      </c>
      <c r="BOC14" s="61">
        <v>2594</v>
      </c>
      <c r="BOD14" s="219" t="s">
        <v>152</v>
      </c>
      <c r="BOE14" s="61">
        <v>3</v>
      </c>
      <c r="BOF14" s="61">
        <v>4050</v>
      </c>
      <c r="BOG14" s="61">
        <v>2594</v>
      </c>
      <c r="BOH14" s="219" t="s">
        <v>152</v>
      </c>
      <c r="BOI14" s="61">
        <v>3</v>
      </c>
      <c r="BOJ14" s="61">
        <v>4050</v>
      </c>
      <c r="BOK14" s="61">
        <v>2594</v>
      </c>
      <c r="BOL14" s="219" t="s">
        <v>152</v>
      </c>
      <c r="BOM14" s="61">
        <v>3</v>
      </c>
      <c r="BON14" s="61">
        <v>4050</v>
      </c>
      <c r="BOO14" s="61">
        <v>2594</v>
      </c>
      <c r="BOP14" s="219" t="s">
        <v>152</v>
      </c>
      <c r="BOQ14" s="61">
        <v>3</v>
      </c>
      <c r="BOR14" s="61">
        <v>4050</v>
      </c>
      <c r="BOS14" s="61">
        <v>2594</v>
      </c>
      <c r="BOT14" s="219" t="s">
        <v>152</v>
      </c>
      <c r="BOU14" s="61">
        <v>3</v>
      </c>
      <c r="BOV14" s="61">
        <v>4050</v>
      </c>
      <c r="BOW14" s="61">
        <v>2594</v>
      </c>
      <c r="BOX14" s="219" t="s">
        <v>152</v>
      </c>
      <c r="BOY14" s="61">
        <v>3</v>
      </c>
      <c r="BOZ14" s="61">
        <v>4050</v>
      </c>
      <c r="BPA14" s="61">
        <v>2594</v>
      </c>
      <c r="BPB14" s="219" t="s">
        <v>152</v>
      </c>
      <c r="BPC14" s="61">
        <v>3</v>
      </c>
      <c r="BPD14" s="61">
        <v>4050</v>
      </c>
      <c r="BPE14" s="61">
        <v>2594</v>
      </c>
      <c r="BPF14" s="219" t="s">
        <v>152</v>
      </c>
      <c r="BPG14" s="61">
        <v>3</v>
      </c>
      <c r="BPH14" s="61">
        <v>4050</v>
      </c>
      <c r="BPI14" s="61">
        <v>2594</v>
      </c>
      <c r="BPJ14" s="219" t="s">
        <v>152</v>
      </c>
      <c r="BPK14" s="61">
        <v>3</v>
      </c>
      <c r="BPL14" s="61">
        <v>4050</v>
      </c>
      <c r="BPM14" s="61">
        <v>2594</v>
      </c>
      <c r="BPN14" s="219" t="s">
        <v>152</v>
      </c>
      <c r="BPO14" s="61">
        <v>3</v>
      </c>
      <c r="BPP14" s="61">
        <v>4050</v>
      </c>
      <c r="BPQ14" s="61">
        <v>2594</v>
      </c>
      <c r="BPR14" s="219" t="s">
        <v>152</v>
      </c>
      <c r="BPS14" s="61">
        <v>3</v>
      </c>
      <c r="BPT14" s="61">
        <v>4050</v>
      </c>
      <c r="BPU14" s="61">
        <v>2594</v>
      </c>
      <c r="BPV14" s="219" t="s">
        <v>152</v>
      </c>
      <c r="BPW14" s="61">
        <v>3</v>
      </c>
      <c r="BPX14" s="61">
        <v>4050</v>
      </c>
      <c r="BPY14" s="61">
        <v>2594</v>
      </c>
      <c r="BPZ14" s="219" t="s">
        <v>152</v>
      </c>
      <c r="BQA14" s="61">
        <v>3</v>
      </c>
      <c r="BQB14" s="61">
        <v>4050</v>
      </c>
      <c r="BQC14" s="61">
        <v>2594</v>
      </c>
      <c r="BQD14" s="219" t="s">
        <v>152</v>
      </c>
      <c r="BQE14" s="61">
        <v>3</v>
      </c>
      <c r="BQF14" s="61">
        <v>4050</v>
      </c>
      <c r="BQG14" s="61">
        <v>2594</v>
      </c>
      <c r="BQH14" s="219" t="s">
        <v>152</v>
      </c>
      <c r="BQI14" s="61">
        <v>3</v>
      </c>
      <c r="BQJ14" s="61">
        <v>4050</v>
      </c>
      <c r="BQK14" s="61">
        <v>2594</v>
      </c>
      <c r="BQL14" s="219" t="s">
        <v>152</v>
      </c>
      <c r="BQM14" s="61">
        <v>3</v>
      </c>
      <c r="BQN14" s="61">
        <v>4050</v>
      </c>
      <c r="BQO14" s="61">
        <v>2594</v>
      </c>
      <c r="BQP14" s="219" t="s">
        <v>152</v>
      </c>
      <c r="BQQ14" s="61">
        <v>3</v>
      </c>
      <c r="BQR14" s="61">
        <v>4050</v>
      </c>
      <c r="BQS14" s="61">
        <v>2594</v>
      </c>
      <c r="BQT14" s="219" t="s">
        <v>152</v>
      </c>
      <c r="BQU14" s="61">
        <v>3</v>
      </c>
      <c r="BQV14" s="61">
        <v>4050</v>
      </c>
      <c r="BQW14" s="61">
        <v>2594</v>
      </c>
      <c r="BQX14" s="219" t="s">
        <v>152</v>
      </c>
      <c r="BQY14" s="61">
        <v>3</v>
      </c>
      <c r="BQZ14" s="61">
        <v>4050</v>
      </c>
      <c r="BRA14" s="61">
        <v>2594</v>
      </c>
      <c r="BRB14" s="219" t="s">
        <v>152</v>
      </c>
      <c r="BRC14" s="61">
        <v>3</v>
      </c>
      <c r="BRD14" s="61">
        <v>4050</v>
      </c>
      <c r="BRE14" s="61">
        <v>2594</v>
      </c>
      <c r="BRF14" s="219" t="s">
        <v>152</v>
      </c>
      <c r="BRG14" s="61">
        <v>3</v>
      </c>
      <c r="BRH14" s="61">
        <v>4050</v>
      </c>
      <c r="BRI14" s="61">
        <v>2594</v>
      </c>
      <c r="BRJ14" s="219" t="s">
        <v>152</v>
      </c>
      <c r="BRK14" s="61">
        <v>3</v>
      </c>
      <c r="BRL14" s="61">
        <v>4050</v>
      </c>
      <c r="BRM14" s="61">
        <v>2594</v>
      </c>
      <c r="BRN14" s="219" t="s">
        <v>152</v>
      </c>
      <c r="BRO14" s="61">
        <v>3</v>
      </c>
      <c r="BRP14" s="61">
        <v>4050</v>
      </c>
      <c r="BRQ14" s="61">
        <v>2594</v>
      </c>
      <c r="BRR14" s="219" t="s">
        <v>152</v>
      </c>
      <c r="BRS14" s="61">
        <v>3</v>
      </c>
      <c r="BRT14" s="61">
        <v>4050</v>
      </c>
      <c r="BRU14" s="61">
        <v>2594</v>
      </c>
      <c r="BRV14" s="219" t="s">
        <v>152</v>
      </c>
      <c r="BRW14" s="61">
        <v>3</v>
      </c>
      <c r="BRX14" s="61">
        <v>4050</v>
      </c>
      <c r="BRY14" s="61">
        <v>2594</v>
      </c>
      <c r="BRZ14" s="219" t="s">
        <v>152</v>
      </c>
      <c r="BSA14" s="61">
        <v>3</v>
      </c>
      <c r="BSB14" s="61">
        <v>4050</v>
      </c>
      <c r="BSC14" s="61">
        <v>2594</v>
      </c>
      <c r="BSD14" s="219" t="s">
        <v>152</v>
      </c>
      <c r="BSE14" s="61">
        <v>3</v>
      </c>
      <c r="BSF14" s="61">
        <v>4050</v>
      </c>
      <c r="BSG14" s="61">
        <v>2594</v>
      </c>
      <c r="BSH14" s="219" t="s">
        <v>152</v>
      </c>
      <c r="BSI14" s="61">
        <v>3</v>
      </c>
      <c r="BSJ14" s="61">
        <v>4050</v>
      </c>
      <c r="BSK14" s="61">
        <v>2594</v>
      </c>
      <c r="BSL14" s="219" t="s">
        <v>152</v>
      </c>
      <c r="BSM14" s="61">
        <v>3</v>
      </c>
      <c r="BSN14" s="61">
        <v>4050</v>
      </c>
      <c r="BSO14" s="61">
        <v>2594</v>
      </c>
      <c r="BSP14" s="219" t="s">
        <v>152</v>
      </c>
      <c r="BSQ14" s="61">
        <v>3</v>
      </c>
      <c r="BSR14" s="61">
        <v>4050</v>
      </c>
      <c r="BSS14" s="61">
        <v>2594</v>
      </c>
      <c r="BST14" s="219" t="s">
        <v>152</v>
      </c>
      <c r="BSU14" s="61">
        <v>3</v>
      </c>
      <c r="BSV14" s="61">
        <v>4050</v>
      </c>
      <c r="BSW14" s="61">
        <v>2594</v>
      </c>
      <c r="BSX14" s="219" t="s">
        <v>152</v>
      </c>
      <c r="BSY14" s="61">
        <v>3</v>
      </c>
      <c r="BSZ14" s="61">
        <v>4050</v>
      </c>
      <c r="BTA14" s="61">
        <v>2594</v>
      </c>
      <c r="BTB14" s="219" t="s">
        <v>152</v>
      </c>
      <c r="BTC14" s="61">
        <v>3</v>
      </c>
      <c r="BTD14" s="61">
        <v>4050</v>
      </c>
      <c r="BTE14" s="61">
        <v>2594</v>
      </c>
      <c r="BTF14" s="219" t="s">
        <v>152</v>
      </c>
      <c r="BTG14" s="61">
        <v>3</v>
      </c>
      <c r="BTH14" s="61">
        <v>4050</v>
      </c>
      <c r="BTI14" s="61">
        <v>2594</v>
      </c>
      <c r="BTJ14" s="219" t="s">
        <v>152</v>
      </c>
      <c r="BTK14" s="61">
        <v>3</v>
      </c>
      <c r="BTL14" s="61">
        <v>4050</v>
      </c>
      <c r="BTM14" s="61">
        <v>2594</v>
      </c>
      <c r="BTN14" s="219" t="s">
        <v>152</v>
      </c>
      <c r="BTO14" s="61">
        <v>3</v>
      </c>
      <c r="BTP14" s="61">
        <v>4050</v>
      </c>
      <c r="BTQ14" s="61">
        <v>2594</v>
      </c>
      <c r="BTR14" s="219" t="s">
        <v>152</v>
      </c>
      <c r="BTS14" s="61">
        <v>3</v>
      </c>
      <c r="BTT14" s="61">
        <v>4050</v>
      </c>
      <c r="BTU14" s="61">
        <v>2594</v>
      </c>
      <c r="BTV14" s="219" t="s">
        <v>152</v>
      </c>
      <c r="BTW14" s="61">
        <v>3</v>
      </c>
      <c r="BTX14" s="61">
        <v>4050</v>
      </c>
      <c r="BTY14" s="61">
        <v>2594</v>
      </c>
      <c r="BTZ14" s="219" t="s">
        <v>152</v>
      </c>
      <c r="BUA14" s="61">
        <v>3</v>
      </c>
      <c r="BUB14" s="61">
        <v>4050</v>
      </c>
      <c r="BUC14" s="61">
        <v>2594</v>
      </c>
      <c r="BUD14" s="219" t="s">
        <v>152</v>
      </c>
      <c r="BUE14" s="61">
        <v>3</v>
      </c>
      <c r="BUF14" s="61">
        <v>4050</v>
      </c>
      <c r="BUG14" s="61">
        <v>2594</v>
      </c>
      <c r="BUH14" s="219" t="s">
        <v>152</v>
      </c>
      <c r="BUI14" s="61">
        <v>3</v>
      </c>
      <c r="BUJ14" s="61">
        <v>4050</v>
      </c>
      <c r="BUK14" s="61">
        <v>2594</v>
      </c>
      <c r="BUL14" s="219" t="s">
        <v>152</v>
      </c>
      <c r="BUM14" s="61">
        <v>3</v>
      </c>
      <c r="BUN14" s="61">
        <v>4050</v>
      </c>
      <c r="BUO14" s="61">
        <v>2594</v>
      </c>
      <c r="BUP14" s="219" t="s">
        <v>152</v>
      </c>
      <c r="BUQ14" s="61">
        <v>3</v>
      </c>
      <c r="BUR14" s="61">
        <v>4050</v>
      </c>
      <c r="BUS14" s="61">
        <v>2594</v>
      </c>
      <c r="BUT14" s="219" t="s">
        <v>152</v>
      </c>
      <c r="BUU14" s="61">
        <v>3</v>
      </c>
      <c r="BUV14" s="61">
        <v>4050</v>
      </c>
      <c r="BUW14" s="61">
        <v>2594</v>
      </c>
      <c r="BUX14" s="219" t="s">
        <v>152</v>
      </c>
      <c r="BUY14" s="61">
        <v>3</v>
      </c>
      <c r="BUZ14" s="61">
        <v>4050</v>
      </c>
      <c r="BVA14" s="61">
        <v>2594</v>
      </c>
      <c r="BVB14" s="219" t="s">
        <v>152</v>
      </c>
      <c r="BVC14" s="61">
        <v>3</v>
      </c>
      <c r="BVD14" s="61">
        <v>4050</v>
      </c>
      <c r="BVE14" s="61">
        <v>2594</v>
      </c>
      <c r="BVF14" s="219" t="s">
        <v>152</v>
      </c>
      <c r="BVG14" s="61">
        <v>3</v>
      </c>
      <c r="BVH14" s="61">
        <v>4050</v>
      </c>
      <c r="BVI14" s="61">
        <v>2594</v>
      </c>
      <c r="BVJ14" s="219" t="s">
        <v>152</v>
      </c>
      <c r="BVK14" s="61">
        <v>3</v>
      </c>
      <c r="BVL14" s="61">
        <v>4050</v>
      </c>
      <c r="BVM14" s="61">
        <v>2594</v>
      </c>
      <c r="BVN14" s="219" t="s">
        <v>152</v>
      </c>
      <c r="BVO14" s="61">
        <v>3</v>
      </c>
      <c r="BVP14" s="61">
        <v>4050</v>
      </c>
      <c r="BVQ14" s="61">
        <v>2594</v>
      </c>
      <c r="BVR14" s="219" t="s">
        <v>152</v>
      </c>
      <c r="BVS14" s="61">
        <v>3</v>
      </c>
      <c r="BVT14" s="61">
        <v>4050</v>
      </c>
      <c r="BVU14" s="61">
        <v>2594</v>
      </c>
      <c r="BVV14" s="219" t="s">
        <v>152</v>
      </c>
      <c r="BVW14" s="61">
        <v>3</v>
      </c>
      <c r="BVX14" s="61">
        <v>4050</v>
      </c>
      <c r="BVY14" s="61">
        <v>2594</v>
      </c>
      <c r="BVZ14" s="219" t="s">
        <v>152</v>
      </c>
      <c r="BWA14" s="61">
        <v>3</v>
      </c>
      <c r="BWB14" s="61">
        <v>4050</v>
      </c>
      <c r="BWC14" s="61">
        <v>2594</v>
      </c>
      <c r="BWD14" s="219" t="s">
        <v>152</v>
      </c>
      <c r="BWE14" s="61">
        <v>3</v>
      </c>
      <c r="BWF14" s="61">
        <v>4050</v>
      </c>
      <c r="BWG14" s="61">
        <v>2594</v>
      </c>
      <c r="BWH14" s="219" t="s">
        <v>152</v>
      </c>
      <c r="BWI14" s="61">
        <v>3</v>
      </c>
      <c r="BWJ14" s="61">
        <v>4050</v>
      </c>
      <c r="BWK14" s="61">
        <v>2594</v>
      </c>
      <c r="BWL14" s="219" t="s">
        <v>152</v>
      </c>
      <c r="BWM14" s="61">
        <v>3</v>
      </c>
      <c r="BWN14" s="61">
        <v>4050</v>
      </c>
      <c r="BWO14" s="61">
        <v>2594</v>
      </c>
      <c r="BWP14" s="219" t="s">
        <v>152</v>
      </c>
      <c r="BWQ14" s="61">
        <v>3</v>
      </c>
      <c r="BWR14" s="61"/>
      <c r="BWS14" s="61"/>
      <c r="BWT14" s="219"/>
      <c r="BWU14" s="61"/>
      <c r="BWV14" s="61"/>
      <c r="BWW14" s="61"/>
      <c r="BWX14" s="219"/>
      <c r="BWY14" s="61"/>
      <c r="BWZ14" s="61"/>
      <c r="BXA14" s="61"/>
      <c r="BXB14" s="219"/>
      <c r="BXC14" s="61"/>
      <c r="BXD14" s="61"/>
      <c r="BXE14" s="61"/>
      <c r="BXF14" s="219"/>
      <c r="BXG14" s="61"/>
      <c r="BXH14" s="61"/>
      <c r="BXI14" s="61"/>
      <c r="BXJ14" s="219"/>
      <c r="BXK14" s="61"/>
      <c r="BXL14" s="61"/>
      <c r="BXM14" s="61"/>
      <c r="BXN14" s="219"/>
      <c r="BXO14" s="61"/>
      <c r="BXP14" s="61"/>
      <c r="BXQ14" s="61"/>
      <c r="BXR14" s="219"/>
      <c r="BXS14" s="61"/>
      <c r="BXT14" s="61"/>
      <c r="BXU14" s="61"/>
      <c r="BXV14" s="219"/>
      <c r="BXW14" s="61"/>
      <c r="BXX14" s="61"/>
      <c r="BXY14" s="61"/>
      <c r="BXZ14" s="219"/>
      <c r="BYA14" s="61"/>
      <c r="BYB14" s="61"/>
      <c r="BYC14" s="61"/>
      <c r="BYD14" s="219"/>
      <c r="BYE14" s="61"/>
      <c r="BYF14" s="61"/>
      <c r="BYG14" s="61"/>
      <c r="BYH14" s="219"/>
      <c r="BYI14" s="61"/>
      <c r="BYJ14" s="61"/>
      <c r="BYK14" s="61"/>
      <c r="BYL14" s="219"/>
      <c r="BYM14" s="61"/>
      <c r="BYN14" s="61"/>
      <c r="BYO14" s="61"/>
      <c r="BYP14" s="219"/>
      <c r="BYQ14" s="61"/>
      <c r="BYR14" s="61"/>
      <c r="BYS14" s="61"/>
      <c r="BYT14" s="219"/>
      <c r="BYU14" s="61"/>
      <c r="BYV14" s="61"/>
      <c r="BYW14" s="61"/>
      <c r="BYX14" s="219"/>
      <c r="BYY14" s="61"/>
      <c r="BYZ14" s="61"/>
      <c r="BZA14" s="61"/>
      <c r="BZB14" s="219"/>
      <c r="BZC14" s="61"/>
      <c r="BZD14" s="61"/>
      <c r="BZE14" s="61"/>
      <c r="BZF14" s="219"/>
      <c r="BZG14" s="61"/>
      <c r="BZH14" s="61"/>
      <c r="BZI14" s="61"/>
      <c r="BZJ14" s="219"/>
      <c r="BZK14" s="61"/>
      <c r="BZL14" s="61"/>
      <c r="BZM14" s="61"/>
      <c r="BZN14" s="219"/>
      <c r="BZO14" s="61"/>
      <c r="BZP14" s="61"/>
      <c r="BZQ14" s="61"/>
      <c r="BZR14" s="219"/>
      <c r="BZS14" s="61"/>
      <c r="BZT14" s="61"/>
      <c r="BZU14" s="61"/>
      <c r="BZV14" s="219"/>
      <c r="BZW14" s="61"/>
      <c r="BZX14" s="61"/>
      <c r="BZY14" s="61"/>
      <c r="BZZ14" s="219"/>
      <c r="CAA14" s="61"/>
      <c r="CAB14" s="61"/>
      <c r="CAC14" s="61"/>
      <c r="CAD14" s="219"/>
      <c r="CAE14" s="61"/>
      <c r="CAF14" s="61"/>
      <c r="CAG14" s="61"/>
      <c r="CAH14" s="219"/>
      <c r="CAI14" s="61"/>
      <c r="CAJ14" s="61"/>
      <c r="CAK14" s="61"/>
      <c r="CAL14" s="219"/>
      <c r="CAM14" s="61"/>
      <c r="CAN14" s="61"/>
      <c r="CAO14" s="61"/>
      <c r="CAP14" s="219"/>
      <c r="CAQ14" s="61"/>
      <c r="CAR14" s="61"/>
      <c r="CAS14" s="61"/>
      <c r="CAT14" s="219"/>
      <c r="CAU14" s="61"/>
      <c r="CAV14" s="61"/>
      <c r="CAW14" s="61"/>
      <c r="CAX14" s="219"/>
      <c r="CAY14" s="61"/>
      <c r="CAZ14" s="61"/>
      <c r="CBA14" s="61"/>
      <c r="CBB14" s="219"/>
      <c r="CBC14" s="61"/>
      <c r="CBD14" s="61"/>
      <c r="CBE14" s="61"/>
      <c r="CBF14" s="219"/>
      <c r="CBG14" s="61"/>
      <c r="CBH14" s="61"/>
      <c r="CBI14" s="61"/>
      <c r="CBJ14" s="219"/>
      <c r="CBK14" s="61"/>
      <c r="CBL14" s="61"/>
      <c r="CBM14" s="61"/>
      <c r="CBN14" s="219"/>
      <c r="CBO14" s="61"/>
      <c r="CBP14" s="61"/>
      <c r="CBQ14" s="61"/>
      <c r="CBR14" s="219"/>
      <c r="CBS14" s="61"/>
      <c r="CBT14" s="61"/>
      <c r="CBU14" s="61"/>
      <c r="CBV14" s="219"/>
      <c r="CBW14" s="61"/>
      <c r="CBX14" s="61"/>
      <c r="CBY14" s="61"/>
      <c r="CBZ14" s="219"/>
      <c r="CCA14" s="61"/>
      <c r="CCB14" s="61"/>
      <c r="CCC14" s="61"/>
      <c r="CCD14" s="219"/>
      <c r="CCE14" s="61"/>
      <c r="CCF14" s="61"/>
      <c r="CCG14" s="61"/>
      <c r="CCH14" s="219"/>
      <c r="CCI14" s="61"/>
      <c r="CCJ14" s="61"/>
      <c r="CCK14" s="61"/>
      <c r="CCL14" s="219"/>
      <c r="CCM14" s="61"/>
      <c r="CCN14" s="61"/>
      <c r="CCO14" s="61"/>
      <c r="CCP14" s="219"/>
      <c r="CCQ14" s="61"/>
      <c r="CCR14" s="61"/>
      <c r="CCS14" s="61"/>
      <c r="CCT14" s="219"/>
      <c r="CCU14" s="61"/>
      <c r="CCV14" s="61"/>
      <c r="CCW14" s="61"/>
      <c r="CCX14" s="219"/>
      <c r="CCY14" s="61"/>
      <c r="CCZ14" s="61"/>
      <c r="CDA14" s="61"/>
      <c r="CDB14" s="219"/>
      <c r="CDC14" s="61"/>
      <c r="CDD14" s="61"/>
      <c r="CDE14" s="61"/>
      <c r="CDF14" s="219"/>
      <c r="CDG14" s="61"/>
      <c r="CDH14" s="61"/>
      <c r="CDI14" s="61"/>
      <c r="CDJ14" s="219"/>
      <c r="CDK14" s="61"/>
      <c r="CDL14" s="61"/>
      <c r="CDM14" s="61"/>
      <c r="CDN14" s="219"/>
      <c r="CDO14" s="61"/>
      <c r="CDP14" s="61"/>
      <c r="CDQ14" s="61"/>
      <c r="CDR14" s="219"/>
      <c r="CDS14" s="61"/>
      <c r="CDT14" s="61"/>
      <c r="CDU14" s="61"/>
      <c r="CDV14" s="219"/>
      <c r="CDW14" s="61"/>
      <c r="CDX14" s="61"/>
      <c r="CDY14" s="61"/>
      <c r="CDZ14" s="219"/>
      <c r="CEA14" s="61"/>
      <c r="CEB14" s="61"/>
      <c r="CEC14" s="61"/>
      <c r="CED14" s="219"/>
      <c r="CEE14" s="61"/>
      <c r="CEF14" s="61"/>
      <c r="CEG14" s="61"/>
      <c r="CEH14" s="219"/>
      <c r="CEI14" s="61"/>
      <c r="CEJ14" s="61"/>
      <c r="CEK14" s="61"/>
      <c r="CEL14" s="219"/>
      <c r="CEM14" s="61"/>
      <c r="CEN14" s="61"/>
      <c r="CEO14" s="61"/>
      <c r="CEP14" s="219"/>
      <c r="CEQ14" s="61"/>
      <c r="CER14" s="61"/>
      <c r="CES14" s="61"/>
      <c r="CET14" s="219"/>
      <c r="CEU14" s="61"/>
      <c r="CEV14" s="61"/>
      <c r="CEW14" s="61"/>
      <c r="CEX14" s="219"/>
      <c r="CEY14" s="61"/>
      <c r="CEZ14" s="61"/>
      <c r="CFA14" s="61"/>
      <c r="CFB14" s="219"/>
      <c r="CFC14" s="61"/>
      <c r="CFD14" s="61"/>
      <c r="CFE14" s="61"/>
      <c r="CFF14" s="219"/>
      <c r="CFG14" s="61"/>
      <c r="CFH14" s="61"/>
      <c r="CFI14" s="61"/>
      <c r="CFJ14" s="219"/>
      <c r="CFK14" s="61"/>
      <c r="CFL14" s="61"/>
      <c r="CFM14" s="61"/>
      <c r="CFN14" s="219"/>
      <c r="CFO14" s="61"/>
      <c r="CFP14" s="61"/>
      <c r="CFQ14" s="61"/>
      <c r="CFR14" s="219"/>
      <c r="CFS14" s="61"/>
      <c r="CFT14" s="61"/>
      <c r="CFU14" s="61"/>
      <c r="CFV14" s="219"/>
      <c r="CFW14" s="61"/>
      <c r="CFX14" s="61"/>
      <c r="CFY14" s="61"/>
      <c r="CFZ14" s="219"/>
      <c r="CGA14" s="61"/>
      <c r="CGB14" s="61">
        <v>4050</v>
      </c>
      <c r="CGC14" s="61">
        <v>2594</v>
      </c>
      <c r="CGD14" s="219" t="s">
        <v>152</v>
      </c>
      <c r="CGE14" s="61">
        <v>3</v>
      </c>
      <c r="CGF14" s="61">
        <v>4050</v>
      </c>
      <c r="CGG14" s="61">
        <v>2594</v>
      </c>
      <c r="CGH14" s="219" t="s">
        <v>152</v>
      </c>
      <c r="CGI14" s="61">
        <v>3</v>
      </c>
      <c r="CGJ14" s="61">
        <v>4050</v>
      </c>
      <c r="CGK14" s="61">
        <v>2594</v>
      </c>
      <c r="CGL14" s="219" t="s">
        <v>152</v>
      </c>
      <c r="CGM14" s="61">
        <v>3</v>
      </c>
      <c r="CGN14" s="61">
        <v>4050</v>
      </c>
      <c r="CGO14" s="61">
        <v>2594</v>
      </c>
      <c r="CGP14" s="219" t="s">
        <v>152</v>
      </c>
      <c r="CGQ14" s="61">
        <v>3</v>
      </c>
      <c r="CGR14" s="61">
        <v>4050</v>
      </c>
      <c r="CGS14" s="61">
        <v>2594</v>
      </c>
      <c r="CGT14" s="219" t="s">
        <v>152</v>
      </c>
      <c r="CGU14" s="61">
        <v>3</v>
      </c>
      <c r="CGV14" s="61">
        <v>4050</v>
      </c>
      <c r="CGW14" s="61">
        <v>2594</v>
      </c>
      <c r="CGX14" s="219" t="s">
        <v>152</v>
      </c>
      <c r="CGY14" s="61">
        <v>3</v>
      </c>
      <c r="CGZ14" s="61">
        <v>4050</v>
      </c>
      <c r="CHA14" s="61">
        <v>2594</v>
      </c>
      <c r="CHB14" s="219" t="s">
        <v>152</v>
      </c>
      <c r="CHC14" s="61">
        <v>3</v>
      </c>
      <c r="CHD14" s="61">
        <v>4050</v>
      </c>
      <c r="CHE14" s="61">
        <v>2594</v>
      </c>
      <c r="CHF14" s="219" t="s">
        <v>152</v>
      </c>
      <c r="CHG14" s="61">
        <v>3</v>
      </c>
      <c r="CHH14" s="61">
        <v>4050</v>
      </c>
      <c r="CHI14" s="61">
        <v>2594</v>
      </c>
      <c r="CHJ14" s="219" t="s">
        <v>152</v>
      </c>
      <c r="CHK14" s="61">
        <v>3</v>
      </c>
      <c r="CHL14" s="61">
        <v>4050</v>
      </c>
      <c r="CHM14" s="61">
        <v>2594</v>
      </c>
      <c r="CHN14" s="219" t="s">
        <v>152</v>
      </c>
      <c r="CHO14" s="61">
        <v>3</v>
      </c>
      <c r="CHP14" s="61">
        <v>4050</v>
      </c>
      <c r="CHQ14" s="61">
        <v>2594</v>
      </c>
      <c r="CHR14" s="219" t="s">
        <v>152</v>
      </c>
      <c r="CHS14" s="61">
        <v>3</v>
      </c>
      <c r="CHT14" s="61">
        <v>4050</v>
      </c>
      <c r="CHU14" s="61">
        <v>2594</v>
      </c>
      <c r="CHV14" s="219" t="s">
        <v>152</v>
      </c>
      <c r="CHW14" s="61">
        <v>3</v>
      </c>
      <c r="CHX14" s="61">
        <v>4050</v>
      </c>
      <c r="CHY14" s="61">
        <v>2594</v>
      </c>
      <c r="CHZ14" s="219" t="s">
        <v>152</v>
      </c>
      <c r="CIA14" s="61">
        <v>3</v>
      </c>
      <c r="CIB14" s="61">
        <v>4050</v>
      </c>
      <c r="CIC14" s="61">
        <v>2594</v>
      </c>
      <c r="CID14" s="219" t="s">
        <v>152</v>
      </c>
      <c r="CIE14" s="61">
        <v>3</v>
      </c>
      <c r="CIF14" s="61">
        <v>4050</v>
      </c>
      <c r="CIG14" s="61">
        <v>2594</v>
      </c>
      <c r="CIH14" s="219" t="s">
        <v>152</v>
      </c>
      <c r="CII14" s="61">
        <v>3</v>
      </c>
      <c r="CIJ14" s="61">
        <v>4050</v>
      </c>
      <c r="CIK14" s="61">
        <v>2594</v>
      </c>
      <c r="CIL14" s="219" t="s">
        <v>152</v>
      </c>
      <c r="CIM14" s="61">
        <v>3</v>
      </c>
      <c r="CIN14" s="61">
        <v>4050</v>
      </c>
      <c r="CIO14" s="61">
        <v>2594</v>
      </c>
      <c r="CIP14" s="219" t="s">
        <v>152</v>
      </c>
      <c r="CIQ14" s="61">
        <v>3</v>
      </c>
      <c r="CIR14" s="61">
        <v>4050</v>
      </c>
      <c r="CIS14" s="61">
        <v>2594</v>
      </c>
      <c r="CIT14" s="219" t="s">
        <v>152</v>
      </c>
      <c r="CIU14" s="61">
        <v>3</v>
      </c>
      <c r="CIV14" s="61">
        <v>4050</v>
      </c>
      <c r="CIW14" s="61">
        <v>2594</v>
      </c>
      <c r="CIX14" s="219" t="s">
        <v>152</v>
      </c>
      <c r="CIY14" s="61">
        <v>3</v>
      </c>
      <c r="CIZ14" s="61">
        <v>4050</v>
      </c>
      <c r="CJA14" s="61">
        <v>2594</v>
      </c>
      <c r="CJB14" s="219" t="s">
        <v>152</v>
      </c>
      <c r="CJC14" s="61">
        <v>3</v>
      </c>
      <c r="CJD14" s="61">
        <v>4050</v>
      </c>
      <c r="CJE14" s="61">
        <v>2594</v>
      </c>
      <c r="CJF14" s="219" t="s">
        <v>152</v>
      </c>
      <c r="CJG14" s="61">
        <v>3</v>
      </c>
      <c r="CJH14" s="61">
        <v>4050</v>
      </c>
      <c r="CJI14" s="61">
        <v>2594</v>
      </c>
      <c r="CJJ14" s="219" t="s">
        <v>152</v>
      </c>
      <c r="CJK14" s="61">
        <v>3</v>
      </c>
      <c r="CJL14" s="61">
        <v>4050</v>
      </c>
      <c r="CJM14" s="61">
        <v>2594</v>
      </c>
      <c r="CJN14" s="219" t="s">
        <v>152</v>
      </c>
      <c r="CJO14" s="61">
        <v>3</v>
      </c>
      <c r="CJP14" s="61">
        <v>4050</v>
      </c>
      <c r="CJQ14" s="61">
        <v>2594</v>
      </c>
      <c r="CJR14" s="219" t="s">
        <v>152</v>
      </c>
      <c r="CJS14" s="61">
        <v>3</v>
      </c>
      <c r="CJT14" s="61">
        <v>4050</v>
      </c>
      <c r="CJU14" s="61">
        <v>2594</v>
      </c>
      <c r="CJV14" s="219" t="s">
        <v>152</v>
      </c>
      <c r="CJW14" s="61">
        <v>3</v>
      </c>
      <c r="CJX14" s="61">
        <v>4050</v>
      </c>
      <c r="CJY14" s="61">
        <v>2594</v>
      </c>
      <c r="CJZ14" s="219" t="s">
        <v>152</v>
      </c>
      <c r="CKA14" s="61">
        <v>3</v>
      </c>
      <c r="CKB14" s="61">
        <v>4050</v>
      </c>
      <c r="CKC14" s="61">
        <v>2594</v>
      </c>
      <c r="CKD14" s="219" t="s">
        <v>152</v>
      </c>
      <c r="CKE14" s="61">
        <v>3</v>
      </c>
      <c r="CKF14" s="61">
        <v>4050</v>
      </c>
      <c r="CKG14" s="61">
        <v>2594</v>
      </c>
      <c r="CKH14" s="219" t="s">
        <v>152</v>
      </c>
      <c r="CKI14" s="61">
        <v>3</v>
      </c>
      <c r="CKJ14" s="61">
        <v>4050</v>
      </c>
      <c r="CKK14" s="61">
        <v>2594</v>
      </c>
      <c r="CKL14" s="219" t="s">
        <v>152</v>
      </c>
      <c r="CKM14" s="61">
        <v>3</v>
      </c>
      <c r="CKN14" s="61">
        <v>4050</v>
      </c>
      <c r="CKO14" s="61">
        <v>2594</v>
      </c>
      <c r="CKP14" s="219" t="s">
        <v>152</v>
      </c>
      <c r="CKQ14" s="61">
        <v>3</v>
      </c>
      <c r="CKR14" s="61">
        <v>4050</v>
      </c>
      <c r="CKS14" s="61">
        <v>2594</v>
      </c>
      <c r="CKT14" s="219" t="s">
        <v>152</v>
      </c>
      <c r="CKU14" s="61">
        <v>3</v>
      </c>
      <c r="CKV14" s="61">
        <v>4050</v>
      </c>
      <c r="CKW14" s="61">
        <v>2594</v>
      </c>
      <c r="CKX14" s="219" t="s">
        <v>152</v>
      </c>
      <c r="CKY14" s="61">
        <v>3</v>
      </c>
      <c r="CKZ14" s="61">
        <v>4050</v>
      </c>
      <c r="CLA14" s="61">
        <v>2594</v>
      </c>
      <c r="CLB14" s="219" t="s">
        <v>152</v>
      </c>
      <c r="CLC14" s="61">
        <v>3</v>
      </c>
      <c r="CLD14" s="61">
        <v>4050</v>
      </c>
      <c r="CLE14" s="61">
        <v>2594</v>
      </c>
      <c r="CLF14" s="219" t="s">
        <v>152</v>
      </c>
      <c r="CLG14" s="61">
        <v>3</v>
      </c>
      <c r="CLH14" s="61">
        <v>4050</v>
      </c>
      <c r="CLI14" s="61">
        <v>2594</v>
      </c>
      <c r="CLJ14" s="219" t="s">
        <v>152</v>
      </c>
      <c r="CLK14" s="61">
        <v>3</v>
      </c>
      <c r="CLL14" s="61">
        <v>4050</v>
      </c>
      <c r="CLM14" s="61">
        <v>2594</v>
      </c>
      <c r="CLN14" s="219" t="s">
        <v>152</v>
      </c>
      <c r="CLO14" s="61">
        <v>3</v>
      </c>
      <c r="CLP14" s="61">
        <v>4050</v>
      </c>
      <c r="CLQ14" s="61">
        <v>2594</v>
      </c>
      <c r="CLR14" s="219" t="s">
        <v>152</v>
      </c>
      <c r="CLS14" s="61">
        <v>3</v>
      </c>
      <c r="CLT14" s="61">
        <v>4050</v>
      </c>
      <c r="CLU14" s="61">
        <v>2594</v>
      </c>
      <c r="CLV14" s="219" t="s">
        <v>152</v>
      </c>
      <c r="CLW14" s="61">
        <v>3</v>
      </c>
      <c r="CLX14" s="61">
        <v>4050</v>
      </c>
      <c r="CLY14" s="61">
        <v>2594</v>
      </c>
      <c r="CLZ14" s="219" t="s">
        <v>152</v>
      </c>
      <c r="CMA14" s="61">
        <v>3</v>
      </c>
      <c r="CMB14" s="61">
        <v>4050</v>
      </c>
      <c r="CMC14" s="61">
        <v>2594</v>
      </c>
      <c r="CMD14" s="219" t="s">
        <v>152</v>
      </c>
      <c r="CME14" s="61">
        <v>3</v>
      </c>
      <c r="CMF14" s="61">
        <v>4050</v>
      </c>
      <c r="CMG14" s="61">
        <v>2594</v>
      </c>
      <c r="CMH14" s="219" t="s">
        <v>152</v>
      </c>
      <c r="CMI14" s="61">
        <v>3</v>
      </c>
      <c r="CMJ14" s="61">
        <v>4050</v>
      </c>
      <c r="CMK14" s="61">
        <v>2594</v>
      </c>
      <c r="CML14" s="219" t="s">
        <v>152</v>
      </c>
      <c r="CMM14" s="61">
        <v>3</v>
      </c>
      <c r="CMN14" s="61">
        <v>4050</v>
      </c>
      <c r="CMO14" s="61">
        <v>2594</v>
      </c>
      <c r="CMP14" s="219" t="s">
        <v>152</v>
      </c>
      <c r="CMQ14" s="61">
        <v>3</v>
      </c>
      <c r="CMR14" s="61">
        <v>4050</v>
      </c>
      <c r="CMS14" s="61">
        <v>2594</v>
      </c>
      <c r="CMT14" s="219" t="s">
        <v>152</v>
      </c>
      <c r="CMU14" s="61">
        <v>3</v>
      </c>
      <c r="CMV14" s="61">
        <v>4050</v>
      </c>
      <c r="CMW14" s="61">
        <v>2594</v>
      </c>
      <c r="CMX14" s="219" t="s">
        <v>152</v>
      </c>
      <c r="CMY14" s="61">
        <v>3</v>
      </c>
      <c r="CMZ14" s="61">
        <v>4050</v>
      </c>
      <c r="CNA14" s="61">
        <v>2594</v>
      </c>
      <c r="CNB14" s="219" t="s">
        <v>152</v>
      </c>
      <c r="CNC14" s="61">
        <v>3</v>
      </c>
      <c r="CND14" s="61">
        <v>4050</v>
      </c>
      <c r="CNE14" s="61">
        <v>2594</v>
      </c>
      <c r="CNF14" s="219" t="s">
        <v>152</v>
      </c>
      <c r="CNG14" s="61">
        <v>3</v>
      </c>
      <c r="CNH14" s="61">
        <v>4050</v>
      </c>
      <c r="CNI14" s="61">
        <v>2594</v>
      </c>
      <c r="CNJ14" s="219" t="s">
        <v>152</v>
      </c>
      <c r="CNK14" s="61">
        <v>3</v>
      </c>
      <c r="CNL14" s="61">
        <v>4050</v>
      </c>
      <c r="CNM14" s="61">
        <v>2594</v>
      </c>
      <c r="CNN14" s="219" t="s">
        <v>152</v>
      </c>
      <c r="CNO14" s="61">
        <v>3</v>
      </c>
      <c r="CNP14" s="61">
        <v>4050</v>
      </c>
      <c r="CNQ14" s="61">
        <v>2594</v>
      </c>
      <c r="CNR14" s="219" t="s">
        <v>152</v>
      </c>
      <c r="CNS14" s="61">
        <v>3</v>
      </c>
      <c r="CNT14" s="61">
        <v>4050</v>
      </c>
      <c r="CNU14" s="61">
        <v>2594</v>
      </c>
      <c r="CNV14" s="219" t="s">
        <v>152</v>
      </c>
      <c r="CNW14" s="61">
        <v>3</v>
      </c>
      <c r="CNX14" s="61">
        <v>4050</v>
      </c>
      <c r="CNY14" s="61">
        <v>2594</v>
      </c>
      <c r="CNZ14" s="219" t="s">
        <v>152</v>
      </c>
      <c r="COA14" s="61">
        <v>3</v>
      </c>
      <c r="COB14" s="61">
        <v>4050</v>
      </c>
      <c r="COC14" s="61">
        <v>2594</v>
      </c>
      <c r="COD14" s="219" t="s">
        <v>152</v>
      </c>
      <c r="COE14" s="61">
        <v>3</v>
      </c>
      <c r="COF14" s="61">
        <v>4050</v>
      </c>
      <c r="COG14" s="61">
        <v>2594</v>
      </c>
      <c r="COH14" s="219" t="s">
        <v>152</v>
      </c>
      <c r="COI14" s="61">
        <v>3</v>
      </c>
      <c r="COJ14" s="61">
        <v>4050</v>
      </c>
      <c r="COK14" s="61">
        <v>2594</v>
      </c>
      <c r="COL14" s="219" t="s">
        <v>152</v>
      </c>
      <c r="COM14" s="61">
        <v>3</v>
      </c>
      <c r="CON14" s="61">
        <v>4050</v>
      </c>
      <c r="COO14" s="61">
        <v>2594</v>
      </c>
      <c r="COP14" s="219" t="s">
        <v>152</v>
      </c>
      <c r="COQ14" s="61">
        <v>3</v>
      </c>
      <c r="COR14" s="61">
        <v>4050</v>
      </c>
      <c r="COS14" s="61">
        <v>2594</v>
      </c>
      <c r="COT14" s="219" t="s">
        <v>152</v>
      </c>
      <c r="COU14" s="61">
        <v>3</v>
      </c>
      <c r="COV14" s="61">
        <v>4050</v>
      </c>
      <c r="COW14" s="61">
        <v>2594</v>
      </c>
      <c r="COX14" s="219" t="s">
        <v>152</v>
      </c>
      <c r="COY14" s="61">
        <v>3</v>
      </c>
      <c r="COZ14" s="61">
        <v>4050</v>
      </c>
      <c r="CPA14" s="61">
        <v>2594</v>
      </c>
      <c r="CPB14" s="219" t="s">
        <v>152</v>
      </c>
      <c r="CPC14" s="61">
        <v>3</v>
      </c>
      <c r="CPD14" s="61">
        <v>4050</v>
      </c>
      <c r="CPE14" s="61">
        <v>2594</v>
      </c>
      <c r="CPF14" s="219" t="s">
        <v>152</v>
      </c>
      <c r="CPG14" s="61">
        <v>3</v>
      </c>
      <c r="CPH14" s="61">
        <v>4050</v>
      </c>
      <c r="CPI14" s="61">
        <v>2594</v>
      </c>
      <c r="CPJ14" s="219" t="s">
        <v>152</v>
      </c>
      <c r="CPK14" s="61">
        <v>3</v>
      </c>
      <c r="CPL14" s="61">
        <v>4050</v>
      </c>
      <c r="CPM14" s="61">
        <v>2594</v>
      </c>
      <c r="CPN14" s="219" t="s">
        <v>152</v>
      </c>
      <c r="CPO14" s="61">
        <v>3</v>
      </c>
      <c r="CPP14" s="61">
        <v>4050</v>
      </c>
      <c r="CPQ14" s="61">
        <v>2594</v>
      </c>
      <c r="CPR14" s="219" t="s">
        <v>152</v>
      </c>
      <c r="CPS14" s="61">
        <v>3</v>
      </c>
      <c r="CPT14" s="61">
        <v>4050</v>
      </c>
      <c r="CPU14" s="61">
        <v>2594</v>
      </c>
      <c r="CPV14" s="219" t="s">
        <v>152</v>
      </c>
      <c r="CPW14" s="61">
        <v>3</v>
      </c>
      <c r="CPX14" s="61">
        <v>4050</v>
      </c>
      <c r="CPY14" s="61">
        <v>2594</v>
      </c>
      <c r="CPZ14" s="219" t="s">
        <v>152</v>
      </c>
      <c r="CQA14" s="61">
        <v>3</v>
      </c>
      <c r="CQB14" s="61">
        <v>4050</v>
      </c>
      <c r="CQC14" s="61">
        <v>2594</v>
      </c>
      <c r="CQD14" s="219" t="s">
        <v>152</v>
      </c>
      <c r="CQE14" s="61">
        <v>3</v>
      </c>
      <c r="CQF14" s="61">
        <v>4050</v>
      </c>
      <c r="CQG14" s="61">
        <v>2594</v>
      </c>
      <c r="CQH14" s="219" t="s">
        <v>152</v>
      </c>
      <c r="CQI14" s="61">
        <v>3</v>
      </c>
      <c r="CQJ14" s="61">
        <v>4050</v>
      </c>
      <c r="CQK14" s="61">
        <v>2594</v>
      </c>
      <c r="CQL14" s="219" t="s">
        <v>152</v>
      </c>
      <c r="CQM14" s="61">
        <v>3</v>
      </c>
      <c r="CQN14" s="61">
        <v>4050</v>
      </c>
      <c r="CQO14" s="61">
        <v>2594</v>
      </c>
      <c r="CQP14" s="219" t="s">
        <v>152</v>
      </c>
      <c r="CQQ14" s="61">
        <v>3</v>
      </c>
      <c r="CQR14" s="61">
        <v>4050</v>
      </c>
      <c r="CQS14" s="61">
        <v>2594</v>
      </c>
      <c r="CQT14" s="219" t="s">
        <v>152</v>
      </c>
      <c r="CQU14" s="61">
        <v>3</v>
      </c>
      <c r="CQV14" s="61">
        <v>4050</v>
      </c>
      <c r="CQW14" s="61">
        <v>2594</v>
      </c>
      <c r="CQX14" s="219" t="s">
        <v>152</v>
      </c>
      <c r="CQY14" s="61">
        <v>3</v>
      </c>
      <c r="CQZ14" s="61">
        <v>4050</v>
      </c>
      <c r="CRA14" s="61">
        <v>2594</v>
      </c>
      <c r="CRB14" s="219" t="s">
        <v>152</v>
      </c>
      <c r="CRC14" s="61">
        <v>3</v>
      </c>
      <c r="CRD14" s="61">
        <v>4050</v>
      </c>
      <c r="CRE14" s="61">
        <v>2594</v>
      </c>
      <c r="CRF14" s="219" t="s">
        <v>152</v>
      </c>
      <c r="CRG14" s="61">
        <v>3</v>
      </c>
      <c r="CRH14" s="61">
        <v>4050</v>
      </c>
      <c r="CRI14" s="61">
        <v>2594</v>
      </c>
      <c r="CRJ14" s="219" t="s">
        <v>152</v>
      </c>
      <c r="CRK14" s="61">
        <v>3</v>
      </c>
      <c r="CRL14" s="61">
        <v>4050</v>
      </c>
      <c r="CRM14" s="61">
        <v>2594</v>
      </c>
      <c r="CRN14" s="219" t="s">
        <v>152</v>
      </c>
      <c r="CRO14" s="61">
        <v>3</v>
      </c>
      <c r="CRP14" s="61">
        <v>4050</v>
      </c>
      <c r="CRQ14" s="61">
        <v>2594</v>
      </c>
      <c r="CRR14" s="219" t="s">
        <v>152</v>
      </c>
      <c r="CRS14" s="61">
        <v>3</v>
      </c>
      <c r="CRT14" s="61">
        <v>4050</v>
      </c>
      <c r="CRU14" s="61">
        <v>2594</v>
      </c>
      <c r="CRV14" s="219" t="s">
        <v>152</v>
      </c>
      <c r="CRW14" s="61">
        <v>3</v>
      </c>
      <c r="CRX14" s="61">
        <v>4050</v>
      </c>
      <c r="CRY14" s="61">
        <v>2594</v>
      </c>
      <c r="CRZ14" s="219" t="s">
        <v>152</v>
      </c>
      <c r="CSA14" s="61">
        <v>3</v>
      </c>
      <c r="CSB14" s="61">
        <v>4050</v>
      </c>
      <c r="CSC14" s="61">
        <v>2594</v>
      </c>
      <c r="CSD14" s="219" t="s">
        <v>152</v>
      </c>
      <c r="CSE14" s="61">
        <v>3</v>
      </c>
      <c r="CSF14" s="61">
        <v>4050</v>
      </c>
      <c r="CSG14" s="61">
        <v>2594</v>
      </c>
      <c r="CSH14" s="219" t="s">
        <v>152</v>
      </c>
      <c r="CSI14" s="61">
        <v>3</v>
      </c>
      <c r="CSJ14" s="61">
        <v>4050</v>
      </c>
      <c r="CSK14" s="61">
        <v>2594</v>
      </c>
      <c r="CSL14" s="219" t="s">
        <v>152</v>
      </c>
      <c r="CSM14" s="61">
        <v>3</v>
      </c>
      <c r="CSN14" s="61">
        <v>4050</v>
      </c>
      <c r="CSO14" s="61">
        <v>2594</v>
      </c>
      <c r="CSP14" s="219" t="s">
        <v>152</v>
      </c>
      <c r="CSQ14" s="61">
        <v>3</v>
      </c>
      <c r="CSR14" s="61">
        <v>4050</v>
      </c>
      <c r="CSS14" s="61">
        <v>2594</v>
      </c>
      <c r="CST14" s="219" t="s">
        <v>152</v>
      </c>
      <c r="CSU14" s="61">
        <v>3</v>
      </c>
      <c r="CSV14" s="61">
        <v>4050</v>
      </c>
      <c r="CSW14" s="61">
        <v>2594</v>
      </c>
      <c r="CSX14" s="219" t="s">
        <v>152</v>
      </c>
      <c r="CSY14" s="61">
        <v>3</v>
      </c>
      <c r="CSZ14" s="61">
        <v>4050</v>
      </c>
      <c r="CTA14" s="61">
        <v>2594</v>
      </c>
      <c r="CTB14" s="219" t="s">
        <v>152</v>
      </c>
      <c r="CTC14" s="61">
        <v>3</v>
      </c>
      <c r="CTD14" s="61">
        <v>4050</v>
      </c>
      <c r="CTE14" s="61">
        <v>2594</v>
      </c>
      <c r="CTF14" s="219" t="s">
        <v>152</v>
      </c>
      <c r="CTG14" s="61">
        <v>3</v>
      </c>
      <c r="CTH14" s="61">
        <v>4050</v>
      </c>
      <c r="CTI14" s="61">
        <v>2594</v>
      </c>
      <c r="CTJ14" s="219" t="s">
        <v>152</v>
      </c>
      <c r="CTK14" s="61">
        <v>3</v>
      </c>
      <c r="CTL14" s="61">
        <v>4050</v>
      </c>
      <c r="CTM14" s="61">
        <v>2594</v>
      </c>
      <c r="CTN14" s="219" t="s">
        <v>152</v>
      </c>
      <c r="CTO14" s="61">
        <v>3</v>
      </c>
      <c r="CTP14" s="61">
        <v>4050</v>
      </c>
      <c r="CTQ14" s="61">
        <v>2594</v>
      </c>
      <c r="CTR14" s="219" t="s">
        <v>152</v>
      </c>
      <c r="CTS14" s="61">
        <v>3</v>
      </c>
      <c r="CTT14" s="61">
        <v>4050</v>
      </c>
      <c r="CTU14" s="61">
        <v>2594</v>
      </c>
      <c r="CTV14" s="219" t="s">
        <v>152</v>
      </c>
      <c r="CTW14" s="61">
        <v>3</v>
      </c>
      <c r="CTX14" s="61">
        <v>4050</v>
      </c>
      <c r="CTY14" s="61">
        <v>2594</v>
      </c>
      <c r="CTZ14" s="219" t="s">
        <v>152</v>
      </c>
      <c r="CUA14" s="61">
        <v>3</v>
      </c>
      <c r="CUB14" s="61">
        <v>4050</v>
      </c>
      <c r="CUC14" s="61">
        <v>2594</v>
      </c>
      <c r="CUD14" s="219" t="s">
        <v>152</v>
      </c>
      <c r="CUE14" s="61">
        <v>3</v>
      </c>
      <c r="CUF14" s="61">
        <v>4050</v>
      </c>
      <c r="CUG14" s="61">
        <v>2594</v>
      </c>
      <c r="CUH14" s="219" t="s">
        <v>152</v>
      </c>
      <c r="CUI14" s="61">
        <v>3</v>
      </c>
      <c r="CUJ14" s="61">
        <v>4050</v>
      </c>
      <c r="CUK14" s="61">
        <v>2594</v>
      </c>
      <c r="CUL14" s="219" t="s">
        <v>152</v>
      </c>
      <c r="CUM14" s="61">
        <v>3</v>
      </c>
      <c r="CUN14" s="61">
        <v>4050</v>
      </c>
      <c r="CUO14" s="61">
        <v>2594</v>
      </c>
      <c r="CUP14" s="219" t="s">
        <v>152</v>
      </c>
      <c r="CUQ14" s="61">
        <v>3</v>
      </c>
      <c r="CUR14" s="61">
        <v>4050</v>
      </c>
      <c r="CUS14" s="61">
        <v>2594</v>
      </c>
      <c r="CUT14" s="219" t="s">
        <v>152</v>
      </c>
      <c r="CUU14" s="61">
        <v>3</v>
      </c>
      <c r="CUV14" s="61">
        <v>4050</v>
      </c>
      <c r="CUW14" s="61">
        <v>2594</v>
      </c>
      <c r="CUX14" s="219" t="s">
        <v>152</v>
      </c>
      <c r="CUY14" s="61">
        <v>3</v>
      </c>
      <c r="CUZ14" s="61">
        <v>4050</v>
      </c>
      <c r="CVA14" s="61">
        <v>2594</v>
      </c>
      <c r="CVB14" s="219" t="s">
        <v>152</v>
      </c>
      <c r="CVC14" s="61">
        <v>3</v>
      </c>
      <c r="CVD14" s="61">
        <v>4050</v>
      </c>
      <c r="CVE14" s="61">
        <v>2594</v>
      </c>
      <c r="CVF14" s="219" t="s">
        <v>152</v>
      </c>
      <c r="CVG14" s="61">
        <v>3</v>
      </c>
      <c r="CVH14" s="61">
        <v>4050</v>
      </c>
      <c r="CVI14" s="61">
        <v>2594</v>
      </c>
      <c r="CVJ14" s="219" t="s">
        <v>152</v>
      </c>
      <c r="CVK14" s="61">
        <v>3</v>
      </c>
      <c r="CVL14" s="61">
        <v>4050</v>
      </c>
      <c r="CVM14" s="61">
        <v>2594</v>
      </c>
      <c r="CVN14" s="219" t="s">
        <v>152</v>
      </c>
      <c r="CVO14" s="61">
        <v>3</v>
      </c>
      <c r="CVP14" s="61">
        <v>4050</v>
      </c>
      <c r="CVQ14" s="61">
        <v>2594</v>
      </c>
      <c r="CVR14" s="219" t="s">
        <v>152</v>
      </c>
      <c r="CVS14" s="61">
        <v>3</v>
      </c>
      <c r="CVT14" s="61">
        <v>4050</v>
      </c>
      <c r="CVU14" s="61">
        <v>2594</v>
      </c>
      <c r="CVV14" s="219" t="s">
        <v>152</v>
      </c>
      <c r="CVW14" s="61">
        <v>3</v>
      </c>
      <c r="CVX14" s="61">
        <v>4050</v>
      </c>
      <c r="CVY14" s="61">
        <v>2594</v>
      </c>
      <c r="CVZ14" s="219" t="s">
        <v>152</v>
      </c>
      <c r="CWA14" s="61">
        <v>3</v>
      </c>
      <c r="CWB14" s="61">
        <v>4050</v>
      </c>
      <c r="CWC14" s="61">
        <v>2594</v>
      </c>
      <c r="CWD14" s="219" t="s">
        <v>152</v>
      </c>
      <c r="CWE14" s="61">
        <v>3</v>
      </c>
      <c r="CWF14" s="61">
        <v>4050</v>
      </c>
      <c r="CWG14" s="61">
        <v>2594</v>
      </c>
      <c r="CWH14" s="219" t="s">
        <v>152</v>
      </c>
      <c r="CWI14" s="61">
        <v>3</v>
      </c>
      <c r="CWJ14" s="61">
        <v>4050</v>
      </c>
      <c r="CWK14" s="61">
        <v>2594</v>
      </c>
      <c r="CWL14" s="219" t="s">
        <v>152</v>
      </c>
      <c r="CWM14" s="61">
        <v>3</v>
      </c>
      <c r="CWN14" s="61">
        <v>4050</v>
      </c>
      <c r="CWO14" s="61">
        <v>2594</v>
      </c>
      <c r="CWP14" s="219" t="s">
        <v>152</v>
      </c>
      <c r="CWQ14" s="61">
        <v>3</v>
      </c>
      <c r="CWR14" s="61">
        <v>4050</v>
      </c>
      <c r="CWS14" s="61">
        <v>2594</v>
      </c>
      <c r="CWT14" s="219" t="s">
        <v>152</v>
      </c>
      <c r="CWU14" s="61">
        <v>3</v>
      </c>
      <c r="CWV14" s="61">
        <v>4050</v>
      </c>
      <c r="CWW14" s="61">
        <v>2594</v>
      </c>
      <c r="CWX14" s="219" t="s">
        <v>152</v>
      </c>
      <c r="CWY14" s="61">
        <v>3</v>
      </c>
      <c r="CWZ14" s="61">
        <v>4050</v>
      </c>
      <c r="CXA14" s="61">
        <v>2594</v>
      </c>
      <c r="CXB14" s="219" t="s">
        <v>152</v>
      </c>
      <c r="CXC14" s="61">
        <v>3</v>
      </c>
      <c r="CXD14" s="61">
        <v>4050</v>
      </c>
      <c r="CXE14" s="61">
        <v>2594</v>
      </c>
      <c r="CXF14" s="219" t="s">
        <v>152</v>
      </c>
      <c r="CXG14" s="61">
        <v>3</v>
      </c>
      <c r="CXH14" s="61">
        <v>4050</v>
      </c>
      <c r="CXI14" s="61">
        <v>2594</v>
      </c>
      <c r="CXJ14" s="219" t="s">
        <v>152</v>
      </c>
      <c r="CXK14" s="61">
        <v>3</v>
      </c>
      <c r="CXL14" s="61">
        <v>4050</v>
      </c>
      <c r="CXM14" s="61">
        <v>2594</v>
      </c>
      <c r="CXN14" s="219" t="s">
        <v>152</v>
      </c>
      <c r="CXO14" s="61">
        <v>3</v>
      </c>
      <c r="CXP14" s="61">
        <v>4050</v>
      </c>
      <c r="CXQ14" s="61">
        <v>2594</v>
      </c>
      <c r="CXR14" s="219" t="s">
        <v>152</v>
      </c>
      <c r="CXS14" s="61">
        <v>3</v>
      </c>
      <c r="CXT14" s="61">
        <v>4050</v>
      </c>
      <c r="CXU14" s="61">
        <v>2594</v>
      </c>
      <c r="CXV14" s="219" t="s">
        <v>152</v>
      </c>
      <c r="CXW14" s="61">
        <v>3</v>
      </c>
      <c r="CXX14" s="61">
        <v>4050</v>
      </c>
      <c r="CXY14" s="61">
        <v>2594</v>
      </c>
      <c r="CXZ14" s="219" t="s">
        <v>152</v>
      </c>
      <c r="CYA14" s="61">
        <v>3</v>
      </c>
      <c r="CYB14" s="61">
        <v>4050</v>
      </c>
      <c r="CYC14" s="61">
        <v>2594</v>
      </c>
      <c r="CYD14" s="219" t="s">
        <v>152</v>
      </c>
      <c r="CYE14" s="61">
        <v>3</v>
      </c>
      <c r="CYF14" s="61">
        <v>4050</v>
      </c>
      <c r="CYG14" s="61">
        <v>2594</v>
      </c>
      <c r="CYH14" s="219" t="s">
        <v>152</v>
      </c>
      <c r="CYI14" s="61">
        <v>3</v>
      </c>
      <c r="CYJ14" s="61">
        <v>4050</v>
      </c>
      <c r="CYK14" s="61">
        <v>2594</v>
      </c>
      <c r="CYL14" s="219" t="s">
        <v>152</v>
      </c>
      <c r="CYM14" s="61">
        <v>3</v>
      </c>
      <c r="CYN14" s="61">
        <v>4050</v>
      </c>
      <c r="CYO14" s="61">
        <v>2594</v>
      </c>
      <c r="CYP14" s="219" t="s">
        <v>152</v>
      </c>
      <c r="CYQ14" s="61">
        <v>3</v>
      </c>
      <c r="CYR14" s="61">
        <v>4050</v>
      </c>
      <c r="CYS14" s="61">
        <v>2594</v>
      </c>
      <c r="CYT14" s="219" t="s">
        <v>152</v>
      </c>
      <c r="CYU14" s="61">
        <v>3</v>
      </c>
      <c r="CYV14" s="61">
        <v>4050</v>
      </c>
      <c r="CYW14" s="61">
        <v>2594</v>
      </c>
      <c r="CYX14" s="219" t="s">
        <v>152</v>
      </c>
      <c r="CYY14" s="61">
        <v>3</v>
      </c>
      <c r="CYZ14" s="61">
        <v>4050</v>
      </c>
      <c r="CZA14" s="61">
        <v>2594</v>
      </c>
      <c r="CZB14" s="219" t="s">
        <v>152</v>
      </c>
      <c r="CZC14" s="61">
        <v>3</v>
      </c>
      <c r="CZD14" s="61">
        <v>4050</v>
      </c>
      <c r="CZE14" s="61">
        <v>2594</v>
      </c>
      <c r="CZF14" s="219" t="s">
        <v>152</v>
      </c>
      <c r="CZG14" s="61">
        <v>3</v>
      </c>
      <c r="CZH14" s="61">
        <v>4050</v>
      </c>
      <c r="CZI14" s="61">
        <v>2594</v>
      </c>
      <c r="CZJ14" s="219" t="s">
        <v>152</v>
      </c>
      <c r="CZK14" s="61">
        <v>3</v>
      </c>
      <c r="CZL14" s="61">
        <v>4050</v>
      </c>
      <c r="CZM14" s="61">
        <v>2594</v>
      </c>
      <c r="CZN14" s="219" t="s">
        <v>152</v>
      </c>
      <c r="CZO14" s="61">
        <v>3</v>
      </c>
      <c r="CZP14" s="61">
        <v>4050</v>
      </c>
      <c r="CZQ14" s="61">
        <v>2594</v>
      </c>
      <c r="CZR14" s="219" t="s">
        <v>152</v>
      </c>
      <c r="CZS14" s="61">
        <v>3</v>
      </c>
      <c r="CZT14" s="61">
        <v>4050</v>
      </c>
      <c r="CZU14" s="61">
        <v>2594</v>
      </c>
      <c r="CZV14" s="219" t="s">
        <v>152</v>
      </c>
      <c r="CZW14" s="61">
        <v>3</v>
      </c>
      <c r="CZX14" s="61">
        <v>4050</v>
      </c>
      <c r="CZY14" s="61">
        <v>2594</v>
      </c>
      <c r="CZZ14" s="219" t="s">
        <v>152</v>
      </c>
      <c r="DAA14" s="61">
        <v>3</v>
      </c>
      <c r="DAB14" s="61">
        <v>4050</v>
      </c>
      <c r="DAC14" s="61">
        <v>2594</v>
      </c>
      <c r="DAD14" s="219" t="s">
        <v>152</v>
      </c>
      <c r="DAE14" s="61">
        <v>3</v>
      </c>
      <c r="DAF14" s="61">
        <v>4050</v>
      </c>
      <c r="DAG14" s="61">
        <v>2594</v>
      </c>
      <c r="DAH14" s="219" t="s">
        <v>152</v>
      </c>
      <c r="DAI14" s="61">
        <v>3</v>
      </c>
      <c r="DAJ14" s="61">
        <v>4050</v>
      </c>
      <c r="DAK14" s="61">
        <v>2594</v>
      </c>
      <c r="DAL14" s="219" t="s">
        <v>152</v>
      </c>
      <c r="DAM14" s="61">
        <v>3</v>
      </c>
      <c r="DAN14" s="61">
        <v>4050</v>
      </c>
      <c r="DAO14" s="61">
        <v>2594</v>
      </c>
      <c r="DAP14" s="219" t="s">
        <v>152</v>
      </c>
      <c r="DAQ14" s="61">
        <v>3</v>
      </c>
      <c r="DAR14" s="61">
        <v>4050</v>
      </c>
      <c r="DAS14" s="61">
        <v>2594</v>
      </c>
      <c r="DAT14" s="219" t="s">
        <v>152</v>
      </c>
      <c r="DAU14" s="61">
        <v>3</v>
      </c>
      <c r="DAV14" s="61">
        <v>4050</v>
      </c>
      <c r="DAW14" s="61">
        <v>2594</v>
      </c>
      <c r="DAX14" s="219" t="s">
        <v>152</v>
      </c>
      <c r="DAY14" s="61">
        <v>3</v>
      </c>
      <c r="DAZ14" s="61">
        <v>4050</v>
      </c>
      <c r="DBA14" s="61">
        <v>2594</v>
      </c>
      <c r="DBB14" s="219" t="s">
        <v>152</v>
      </c>
      <c r="DBC14" s="61">
        <v>3</v>
      </c>
      <c r="DBD14" s="61">
        <v>4050</v>
      </c>
      <c r="DBE14" s="61">
        <v>2594</v>
      </c>
      <c r="DBF14" s="219" t="s">
        <v>152</v>
      </c>
      <c r="DBG14" s="61">
        <v>3</v>
      </c>
      <c r="DBH14" s="61">
        <v>4050</v>
      </c>
      <c r="DBI14" s="61">
        <v>2594</v>
      </c>
      <c r="DBJ14" s="219" t="s">
        <v>152</v>
      </c>
      <c r="DBK14" s="61">
        <v>3</v>
      </c>
      <c r="DBL14" s="61">
        <v>4050</v>
      </c>
      <c r="DBM14" s="61">
        <v>2594</v>
      </c>
      <c r="DBN14" s="219" t="s">
        <v>152</v>
      </c>
      <c r="DBO14" s="61">
        <v>3</v>
      </c>
      <c r="DBP14" s="61">
        <v>4050</v>
      </c>
      <c r="DBQ14" s="61">
        <v>2594</v>
      </c>
      <c r="DBR14" s="219" t="s">
        <v>152</v>
      </c>
      <c r="DBS14" s="61">
        <v>3</v>
      </c>
      <c r="DBT14" s="61">
        <v>4050</v>
      </c>
      <c r="DBU14" s="61">
        <v>2594</v>
      </c>
      <c r="DBV14" s="219" t="s">
        <v>152</v>
      </c>
      <c r="DBW14" s="61">
        <v>3</v>
      </c>
      <c r="DBX14" s="61">
        <v>4050</v>
      </c>
      <c r="DBY14" s="61">
        <v>2594</v>
      </c>
      <c r="DBZ14" s="219" t="s">
        <v>152</v>
      </c>
      <c r="DCA14" s="61">
        <v>3</v>
      </c>
      <c r="DCB14" s="61">
        <v>4050</v>
      </c>
      <c r="DCC14" s="61">
        <v>2594</v>
      </c>
      <c r="DCD14" s="219" t="s">
        <v>152</v>
      </c>
      <c r="DCE14" s="61">
        <v>3</v>
      </c>
      <c r="DCF14" s="61">
        <v>4050</v>
      </c>
      <c r="DCG14" s="61">
        <v>2594</v>
      </c>
      <c r="DCH14" s="219" t="s">
        <v>152</v>
      </c>
      <c r="DCI14" s="61">
        <v>3</v>
      </c>
      <c r="DCJ14" s="61">
        <v>4050</v>
      </c>
    </row>
    <row r="15" spans="1:2792" ht="15" customHeight="1">
      <c r="A15" s="59">
        <v>15248</v>
      </c>
      <c r="B15" s="350" t="s">
        <v>1385</v>
      </c>
      <c r="C15" s="59">
        <v>1</v>
      </c>
      <c r="D15" s="59">
        <v>2100</v>
      </c>
      <c r="E15" s="59"/>
      <c r="F15" s="59">
        <v>2100</v>
      </c>
      <c r="G15" s="365" t="s">
        <v>144</v>
      </c>
      <c r="H15" s="209"/>
      <c r="I15" s="209"/>
      <c r="J15" s="219"/>
      <c r="K15" s="61"/>
      <c r="L15" s="61"/>
      <c r="M15" s="61"/>
      <c r="N15" s="219"/>
      <c r="O15" s="61"/>
      <c r="P15" s="61"/>
      <c r="Q15" s="61"/>
      <c r="R15" s="219"/>
      <c r="S15" s="61"/>
      <c r="T15" s="61"/>
      <c r="U15" s="61"/>
      <c r="V15" s="219"/>
      <c r="W15" s="61"/>
      <c r="X15" s="61"/>
      <c r="Y15" s="61"/>
      <c r="Z15" s="219"/>
      <c r="AA15" s="61"/>
      <c r="AB15" s="61"/>
      <c r="AC15" s="61"/>
      <c r="AD15" s="219"/>
      <c r="AE15" s="61"/>
      <c r="AF15" s="61"/>
      <c r="AG15" s="61"/>
      <c r="AH15" s="219"/>
      <c r="AI15" s="61"/>
      <c r="AJ15" s="61"/>
      <c r="AK15" s="61"/>
      <c r="AL15" s="219"/>
      <c r="AM15" s="61"/>
      <c r="AN15" s="61"/>
      <c r="AO15" s="61"/>
      <c r="AP15" s="219"/>
      <c r="AQ15" s="61"/>
      <c r="AR15" s="61"/>
      <c r="AS15" s="61"/>
      <c r="AT15" s="219"/>
      <c r="AU15" s="61"/>
      <c r="AV15" s="61"/>
      <c r="AW15" s="61"/>
      <c r="AX15" s="219"/>
      <c r="AY15" s="61"/>
      <c r="AZ15" s="61"/>
      <c r="BA15" s="61"/>
      <c r="BB15" s="219"/>
      <c r="BC15" s="61"/>
      <c r="BD15" s="61"/>
      <c r="BE15" s="61"/>
      <c r="BF15" s="219"/>
      <c r="BG15" s="61"/>
      <c r="BH15" s="61"/>
      <c r="BI15" s="61"/>
      <c r="BJ15" s="219"/>
      <c r="BK15" s="61"/>
      <c r="BL15" s="61"/>
      <c r="BM15" s="61"/>
      <c r="BN15" s="219"/>
      <c r="BO15" s="61"/>
      <c r="BP15" s="61"/>
      <c r="BQ15" s="61"/>
      <c r="BR15" s="219"/>
      <c r="BS15" s="61"/>
      <c r="BT15" s="61"/>
      <c r="BU15" s="61"/>
      <c r="BV15" s="219"/>
      <c r="BW15" s="61"/>
      <c r="BX15" s="61"/>
      <c r="BY15" s="61"/>
      <c r="BZ15" s="219"/>
      <c r="CA15" s="61"/>
      <c r="CB15" s="61"/>
      <c r="CC15" s="61"/>
      <c r="CD15" s="219"/>
      <c r="CE15" s="61"/>
      <c r="CF15" s="61"/>
      <c r="CG15" s="61"/>
      <c r="CH15" s="219"/>
      <c r="CI15" s="61"/>
      <c r="CJ15" s="61"/>
      <c r="CK15" s="61"/>
      <c r="CL15" s="219"/>
      <c r="CM15" s="61"/>
      <c r="CN15" s="61"/>
      <c r="CO15" s="61"/>
      <c r="CP15" s="219"/>
      <c r="CQ15" s="61"/>
      <c r="CR15" s="61"/>
      <c r="CS15" s="61"/>
      <c r="CT15" s="219"/>
      <c r="CU15" s="61"/>
      <c r="CV15" s="61"/>
      <c r="CW15" s="61"/>
      <c r="CX15" s="219"/>
      <c r="CY15" s="61"/>
      <c r="CZ15" s="61"/>
      <c r="DA15" s="61"/>
      <c r="DB15" s="219"/>
      <c r="DC15" s="61"/>
      <c r="DD15" s="61"/>
      <c r="DE15" s="61"/>
      <c r="DF15" s="219"/>
      <c r="DG15" s="61"/>
      <c r="DH15" s="61">
        <v>0</v>
      </c>
      <c r="DI15" s="61"/>
      <c r="DJ15" s="219" t="s">
        <v>135</v>
      </c>
      <c r="DK15" s="61">
        <v>2</v>
      </c>
      <c r="DL15" s="61">
        <v>0</v>
      </c>
      <c r="DM15" s="61"/>
      <c r="DN15" s="219" t="s">
        <v>135</v>
      </c>
      <c r="DO15" s="61">
        <v>2</v>
      </c>
      <c r="DP15" s="61">
        <v>0</v>
      </c>
      <c r="DQ15" s="61"/>
      <c r="DR15" s="219" t="s">
        <v>135</v>
      </c>
      <c r="DS15" s="61">
        <v>2</v>
      </c>
      <c r="DT15" s="61">
        <v>0</v>
      </c>
      <c r="DU15" s="61"/>
      <c r="DV15" s="219" t="s">
        <v>135</v>
      </c>
      <c r="DW15" s="61">
        <v>2</v>
      </c>
      <c r="DX15" s="61">
        <v>0</v>
      </c>
      <c r="DY15" s="61"/>
      <c r="DZ15" s="219" t="s">
        <v>135</v>
      </c>
      <c r="EA15" s="61">
        <v>2</v>
      </c>
      <c r="EB15" s="61">
        <v>0</v>
      </c>
      <c r="EC15" s="61"/>
      <c r="ED15" s="219" t="s">
        <v>135</v>
      </c>
      <c r="EE15" s="61">
        <v>2</v>
      </c>
      <c r="EF15" s="61">
        <v>0</v>
      </c>
      <c r="EG15" s="61"/>
      <c r="EH15" s="219" t="s">
        <v>135</v>
      </c>
      <c r="EI15" s="61">
        <v>2</v>
      </c>
      <c r="EJ15" s="61">
        <v>0</v>
      </c>
      <c r="EK15" s="61"/>
      <c r="EL15" s="219" t="s">
        <v>135</v>
      </c>
      <c r="EM15" s="61">
        <v>2</v>
      </c>
      <c r="EN15" s="61">
        <v>0</v>
      </c>
      <c r="EO15" s="61"/>
      <c r="EP15" s="219" t="s">
        <v>135</v>
      </c>
      <c r="EQ15" s="61">
        <v>2</v>
      </c>
      <c r="ER15" s="61">
        <v>0</v>
      </c>
      <c r="ES15" s="61"/>
      <c r="ET15" s="219" t="s">
        <v>135</v>
      </c>
      <c r="EU15" s="61">
        <v>2</v>
      </c>
      <c r="EV15" s="61">
        <v>0</v>
      </c>
      <c r="EW15" s="61"/>
      <c r="EX15" s="219" t="s">
        <v>135</v>
      </c>
      <c r="EY15" s="61">
        <v>2</v>
      </c>
      <c r="EZ15" s="61">
        <v>0</v>
      </c>
      <c r="FA15" s="61"/>
      <c r="FB15" s="219" t="s">
        <v>135</v>
      </c>
      <c r="FC15" s="61">
        <v>2</v>
      </c>
      <c r="FD15" s="61">
        <v>0</v>
      </c>
      <c r="FE15" s="61"/>
      <c r="FF15" s="219" t="s">
        <v>135</v>
      </c>
      <c r="FG15" s="61">
        <v>2</v>
      </c>
      <c r="FH15" s="61">
        <v>0</v>
      </c>
      <c r="FI15" s="61"/>
      <c r="FJ15" s="219" t="s">
        <v>135</v>
      </c>
      <c r="FK15" s="61">
        <v>2</v>
      </c>
      <c r="FL15" s="61">
        <v>0</v>
      </c>
      <c r="FM15" s="61"/>
      <c r="FN15" s="219" t="s">
        <v>135</v>
      </c>
      <c r="FO15" s="61">
        <v>2</v>
      </c>
      <c r="FP15" s="61">
        <v>0</v>
      </c>
      <c r="FQ15" s="61"/>
      <c r="FR15" s="219" t="s">
        <v>135</v>
      </c>
      <c r="FS15" s="61">
        <v>2</v>
      </c>
      <c r="FT15" s="61">
        <v>0</v>
      </c>
      <c r="FU15" s="61"/>
      <c r="FV15" s="219" t="s">
        <v>135</v>
      </c>
      <c r="FW15" s="61">
        <v>2</v>
      </c>
      <c r="FX15" s="61">
        <v>0</v>
      </c>
      <c r="FY15" s="61"/>
      <c r="FZ15" s="219" t="s">
        <v>135</v>
      </c>
      <c r="GA15" s="61">
        <v>2</v>
      </c>
      <c r="GB15" s="61">
        <v>0</v>
      </c>
      <c r="GC15" s="61"/>
      <c r="GD15" s="219" t="s">
        <v>135</v>
      </c>
      <c r="GE15" s="61">
        <v>2</v>
      </c>
      <c r="GF15" s="61">
        <v>0</v>
      </c>
      <c r="GG15" s="61"/>
      <c r="GH15" s="219" t="s">
        <v>135</v>
      </c>
      <c r="GI15" s="61">
        <v>2</v>
      </c>
      <c r="GJ15" s="61">
        <v>0</v>
      </c>
      <c r="GK15" s="61"/>
      <c r="GL15" s="219" t="s">
        <v>135</v>
      </c>
      <c r="GM15" s="61">
        <v>2</v>
      </c>
      <c r="GN15" s="61">
        <v>0</v>
      </c>
      <c r="GO15" s="61"/>
      <c r="GP15" s="219" t="s">
        <v>135</v>
      </c>
      <c r="GQ15" s="61">
        <v>2</v>
      </c>
      <c r="GR15" s="61">
        <v>0</v>
      </c>
      <c r="GS15" s="61"/>
      <c r="GT15" s="219" t="s">
        <v>135</v>
      </c>
      <c r="GU15" s="61">
        <v>2</v>
      </c>
      <c r="GV15" s="61">
        <v>0</v>
      </c>
      <c r="GW15" s="61"/>
      <c r="GX15" s="219" t="s">
        <v>135</v>
      </c>
      <c r="GY15" s="61">
        <v>2</v>
      </c>
      <c r="GZ15" s="61">
        <v>0</v>
      </c>
      <c r="HA15" s="61"/>
      <c r="HB15" s="219" t="s">
        <v>135</v>
      </c>
      <c r="HC15" s="61">
        <v>2</v>
      </c>
      <c r="HD15" s="61">
        <v>0</v>
      </c>
      <c r="HE15" s="61"/>
      <c r="HF15" s="219" t="s">
        <v>135</v>
      </c>
      <c r="HG15" s="61">
        <v>2</v>
      </c>
      <c r="HH15" s="61">
        <v>0</v>
      </c>
      <c r="HI15" s="61"/>
      <c r="HJ15" s="219" t="s">
        <v>135</v>
      </c>
      <c r="HK15" s="61">
        <v>2</v>
      </c>
      <c r="HL15" s="61">
        <v>0</v>
      </c>
      <c r="HM15" s="61"/>
      <c r="HN15" s="219" t="s">
        <v>135</v>
      </c>
      <c r="HO15" s="61">
        <v>2</v>
      </c>
      <c r="HP15" s="61">
        <v>0</v>
      </c>
      <c r="HQ15" s="61"/>
      <c r="HR15" s="219" t="s">
        <v>135</v>
      </c>
      <c r="HS15" s="61">
        <v>2</v>
      </c>
      <c r="HT15" s="61">
        <v>0</v>
      </c>
      <c r="HU15" s="61"/>
      <c r="HV15" s="219" t="s">
        <v>135</v>
      </c>
      <c r="HW15" s="61">
        <v>2</v>
      </c>
      <c r="HX15" s="61">
        <v>0</v>
      </c>
      <c r="HY15" s="61"/>
      <c r="HZ15" s="219" t="s">
        <v>135</v>
      </c>
      <c r="IA15" s="61">
        <v>2</v>
      </c>
      <c r="IB15" s="61">
        <v>0</v>
      </c>
      <c r="IC15" s="61"/>
      <c r="ID15" s="219" t="s">
        <v>135</v>
      </c>
      <c r="IE15" s="61">
        <v>2</v>
      </c>
      <c r="IF15" s="61">
        <v>0</v>
      </c>
      <c r="IG15" s="61"/>
      <c r="IH15" s="219" t="s">
        <v>135</v>
      </c>
      <c r="II15" s="61">
        <v>2</v>
      </c>
      <c r="IJ15" s="61">
        <v>0</v>
      </c>
      <c r="IK15" s="61"/>
      <c r="IL15" s="219" t="s">
        <v>135</v>
      </c>
      <c r="IM15" s="61">
        <v>2</v>
      </c>
      <c r="IN15" s="61">
        <v>0</v>
      </c>
      <c r="IO15" s="61"/>
      <c r="IP15" s="219" t="s">
        <v>135</v>
      </c>
      <c r="IQ15" s="61">
        <v>2</v>
      </c>
      <c r="IR15" s="61">
        <v>0</v>
      </c>
      <c r="IS15" s="61"/>
      <c r="IT15" s="219" t="s">
        <v>135</v>
      </c>
      <c r="IU15" s="61">
        <v>2</v>
      </c>
      <c r="IV15" s="61">
        <v>0</v>
      </c>
      <c r="IW15" s="61"/>
      <c r="IX15" s="219" t="s">
        <v>135</v>
      </c>
      <c r="IY15" s="61">
        <v>2</v>
      </c>
      <c r="IZ15" s="61">
        <v>0</v>
      </c>
      <c r="JA15" s="61"/>
      <c r="JB15" s="219" t="s">
        <v>135</v>
      </c>
      <c r="JC15" s="61">
        <v>2</v>
      </c>
      <c r="JD15" s="61">
        <v>0</v>
      </c>
      <c r="JE15" s="61"/>
      <c r="JF15" s="219" t="s">
        <v>135</v>
      </c>
      <c r="JG15" s="61">
        <v>2</v>
      </c>
      <c r="JH15" s="61">
        <v>0</v>
      </c>
      <c r="JI15" s="61"/>
      <c r="JJ15" s="219" t="s">
        <v>135</v>
      </c>
      <c r="JK15" s="61">
        <v>2</v>
      </c>
      <c r="JL15" s="61">
        <v>0</v>
      </c>
      <c r="JM15" s="61"/>
      <c r="JN15" s="219" t="s">
        <v>135</v>
      </c>
      <c r="JO15" s="61">
        <v>2</v>
      </c>
      <c r="JP15" s="61">
        <v>0</v>
      </c>
      <c r="JQ15" s="61"/>
      <c r="JR15" s="219" t="s">
        <v>135</v>
      </c>
      <c r="JS15" s="61">
        <v>2</v>
      </c>
      <c r="JT15" s="61">
        <v>0</v>
      </c>
      <c r="JU15" s="61"/>
      <c r="JV15" s="219" t="s">
        <v>135</v>
      </c>
      <c r="JW15" s="61">
        <v>2</v>
      </c>
      <c r="JX15" s="61">
        <v>0</v>
      </c>
      <c r="JY15" s="61"/>
      <c r="JZ15" s="219" t="s">
        <v>135</v>
      </c>
      <c r="KA15" s="61">
        <v>2</v>
      </c>
      <c r="KB15" s="61">
        <v>0</v>
      </c>
      <c r="KC15" s="61"/>
      <c r="KD15" s="219" t="s">
        <v>135</v>
      </c>
      <c r="KE15" s="61">
        <v>2</v>
      </c>
      <c r="KF15" s="61">
        <v>0</v>
      </c>
      <c r="KG15" s="61"/>
      <c r="KH15" s="219" t="s">
        <v>135</v>
      </c>
      <c r="KI15" s="61">
        <v>2</v>
      </c>
      <c r="KJ15" s="61">
        <v>0</v>
      </c>
      <c r="KK15" s="61"/>
      <c r="KL15" s="219" t="s">
        <v>135</v>
      </c>
      <c r="KM15" s="61">
        <v>2</v>
      </c>
      <c r="KN15" s="61">
        <v>0</v>
      </c>
      <c r="KO15" s="61"/>
      <c r="KP15" s="219" t="s">
        <v>135</v>
      </c>
      <c r="KQ15" s="61">
        <v>2</v>
      </c>
      <c r="KR15" s="61">
        <v>0</v>
      </c>
      <c r="KS15" s="61"/>
      <c r="KT15" s="219" t="s">
        <v>135</v>
      </c>
      <c r="KU15" s="61">
        <v>2</v>
      </c>
      <c r="KV15" s="61">
        <v>0</v>
      </c>
      <c r="KW15" s="61"/>
      <c r="KX15" s="219" t="s">
        <v>135</v>
      </c>
      <c r="KY15" s="61">
        <v>2</v>
      </c>
      <c r="KZ15" s="61">
        <v>0</v>
      </c>
      <c r="LA15" s="61"/>
      <c r="LB15" s="219" t="s">
        <v>135</v>
      </c>
      <c r="LC15" s="61">
        <v>2</v>
      </c>
      <c r="LD15" s="61">
        <v>0</v>
      </c>
      <c r="LE15" s="61"/>
      <c r="LF15" s="219" t="s">
        <v>135</v>
      </c>
      <c r="LG15" s="61">
        <v>2</v>
      </c>
      <c r="LH15" s="61">
        <v>0</v>
      </c>
      <c r="LI15" s="61"/>
      <c r="LJ15" s="219" t="s">
        <v>135</v>
      </c>
      <c r="LK15" s="61">
        <v>2</v>
      </c>
      <c r="LL15" s="61">
        <v>0</v>
      </c>
      <c r="LM15" s="61"/>
      <c r="LN15" s="219" t="s">
        <v>135</v>
      </c>
      <c r="LO15" s="61">
        <v>2</v>
      </c>
      <c r="LP15" s="61">
        <v>0</v>
      </c>
      <c r="LQ15" s="61"/>
      <c r="LR15" s="219" t="s">
        <v>135</v>
      </c>
      <c r="LS15" s="61">
        <v>2</v>
      </c>
      <c r="LT15" s="61">
        <v>0</v>
      </c>
      <c r="LU15" s="61"/>
      <c r="LV15" s="219" t="s">
        <v>135</v>
      </c>
      <c r="LW15" s="61">
        <v>2</v>
      </c>
      <c r="LX15" s="61">
        <v>0</v>
      </c>
      <c r="LY15" s="61"/>
      <c r="LZ15" s="219" t="s">
        <v>135</v>
      </c>
      <c r="MA15" s="61">
        <v>2</v>
      </c>
      <c r="MB15" s="61">
        <v>0</v>
      </c>
      <c r="MC15" s="61"/>
      <c r="MD15" s="219" t="s">
        <v>135</v>
      </c>
      <c r="ME15" s="61">
        <v>2</v>
      </c>
      <c r="MF15" s="61">
        <v>0</v>
      </c>
      <c r="MG15" s="61"/>
      <c r="MH15" s="219" t="s">
        <v>135</v>
      </c>
      <c r="MI15" s="61">
        <v>2</v>
      </c>
      <c r="MJ15" s="61">
        <v>0</v>
      </c>
      <c r="MK15" s="61"/>
      <c r="ML15" s="219" t="s">
        <v>135</v>
      </c>
      <c r="MM15" s="61">
        <v>2</v>
      </c>
      <c r="MN15" s="61">
        <v>0</v>
      </c>
      <c r="MO15" s="61"/>
      <c r="MP15" s="219" t="s">
        <v>135</v>
      </c>
      <c r="MQ15" s="61">
        <v>2</v>
      </c>
      <c r="MR15" s="61">
        <v>0</v>
      </c>
      <c r="MS15" s="61"/>
      <c r="MT15" s="219" t="s">
        <v>135</v>
      </c>
      <c r="MU15" s="61">
        <v>2</v>
      </c>
      <c r="MV15" s="61">
        <v>0</v>
      </c>
      <c r="MW15" s="61"/>
      <c r="MX15" s="219" t="s">
        <v>135</v>
      </c>
      <c r="MY15" s="61">
        <v>2</v>
      </c>
      <c r="MZ15" s="61">
        <v>0</v>
      </c>
      <c r="NA15" s="61"/>
      <c r="NB15" s="219" t="s">
        <v>135</v>
      </c>
      <c r="NC15" s="61">
        <v>2</v>
      </c>
      <c r="ND15" s="61">
        <v>0</v>
      </c>
      <c r="NE15" s="61"/>
      <c r="NF15" s="219" t="s">
        <v>135</v>
      </c>
      <c r="NG15" s="61">
        <v>2</v>
      </c>
      <c r="NH15" s="61">
        <v>0</v>
      </c>
      <c r="NI15" s="61"/>
      <c r="NJ15" s="219" t="s">
        <v>135</v>
      </c>
      <c r="NK15" s="61">
        <v>2</v>
      </c>
      <c r="NL15" s="61">
        <v>0</v>
      </c>
      <c r="NM15" s="61"/>
      <c r="NN15" s="219" t="s">
        <v>135</v>
      </c>
      <c r="NO15" s="61">
        <v>2</v>
      </c>
      <c r="NP15" s="61">
        <v>0</v>
      </c>
      <c r="NQ15" s="61"/>
      <c r="NR15" s="219" t="s">
        <v>135</v>
      </c>
      <c r="NS15" s="61">
        <v>2</v>
      </c>
      <c r="NT15" s="61">
        <v>0</v>
      </c>
      <c r="NU15" s="61"/>
      <c r="NV15" s="219" t="s">
        <v>135</v>
      </c>
      <c r="NW15" s="61">
        <v>2</v>
      </c>
      <c r="NX15" s="61">
        <v>0</v>
      </c>
      <c r="NY15" s="61"/>
      <c r="NZ15" s="219" t="s">
        <v>135</v>
      </c>
      <c r="OA15" s="61">
        <v>2</v>
      </c>
      <c r="OB15" s="61">
        <v>0</v>
      </c>
      <c r="OC15" s="61"/>
      <c r="OD15" s="219" t="s">
        <v>135</v>
      </c>
      <c r="OE15" s="61">
        <v>2</v>
      </c>
      <c r="OF15" s="61">
        <v>0</v>
      </c>
      <c r="OG15" s="61"/>
      <c r="OH15" s="219" t="s">
        <v>135</v>
      </c>
      <c r="OI15" s="61">
        <v>2</v>
      </c>
      <c r="OJ15" s="61">
        <v>0</v>
      </c>
      <c r="OK15" s="61"/>
      <c r="OL15" s="219" t="s">
        <v>135</v>
      </c>
      <c r="OM15" s="61">
        <v>2</v>
      </c>
      <c r="ON15" s="61">
        <v>0</v>
      </c>
      <c r="OO15" s="61"/>
      <c r="OP15" s="219" t="s">
        <v>135</v>
      </c>
      <c r="OQ15" s="61">
        <v>2</v>
      </c>
      <c r="OR15" s="61">
        <v>0</v>
      </c>
      <c r="OS15" s="61"/>
      <c r="OT15" s="219" t="s">
        <v>135</v>
      </c>
      <c r="OU15" s="61">
        <v>2</v>
      </c>
      <c r="OV15" s="61">
        <v>0</v>
      </c>
      <c r="OW15" s="61"/>
      <c r="OX15" s="219" t="s">
        <v>135</v>
      </c>
      <c r="OY15" s="61">
        <v>2</v>
      </c>
      <c r="OZ15" s="61">
        <v>0</v>
      </c>
      <c r="PA15" s="61"/>
      <c r="PB15" s="219" t="s">
        <v>135</v>
      </c>
      <c r="PC15" s="61">
        <v>2</v>
      </c>
      <c r="PD15" s="61">
        <v>0</v>
      </c>
      <c r="PE15" s="61"/>
      <c r="PF15" s="219" t="s">
        <v>135</v>
      </c>
      <c r="PG15" s="61">
        <v>2</v>
      </c>
      <c r="PH15" s="61">
        <v>0</v>
      </c>
      <c r="PI15" s="61"/>
      <c r="PJ15" s="219" t="s">
        <v>135</v>
      </c>
      <c r="PK15" s="61">
        <v>2</v>
      </c>
      <c r="PL15" s="61">
        <v>0</v>
      </c>
      <c r="PM15" s="61"/>
      <c r="PN15" s="219" t="s">
        <v>135</v>
      </c>
      <c r="PO15" s="61">
        <v>2</v>
      </c>
      <c r="PP15" s="61">
        <v>0</v>
      </c>
      <c r="PQ15" s="61"/>
      <c r="PR15" s="219" t="s">
        <v>135</v>
      </c>
      <c r="PS15" s="61">
        <v>2</v>
      </c>
      <c r="PT15" s="61">
        <v>0</v>
      </c>
      <c r="PU15" s="61"/>
      <c r="PV15" s="219" t="s">
        <v>135</v>
      </c>
      <c r="PW15" s="61">
        <v>2</v>
      </c>
      <c r="PX15" s="61">
        <v>0</v>
      </c>
      <c r="PY15" s="61"/>
      <c r="PZ15" s="219" t="s">
        <v>135</v>
      </c>
      <c r="QA15" s="61">
        <v>2</v>
      </c>
      <c r="QB15" s="61">
        <v>0</v>
      </c>
      <c r="QC15" s="61"/>
      <c r="QD15" s="219" t="s">
        <v>135</v>
      </c>
      <c r="QE15" s="61">
        <v>2</v>
      </c>
      <c r="QF15" s="61">
        <v>0</v>
      </c>
      <c r="QG15" s="61"/>
      <c r="QH15" s="219" t="s">
        <v>135</v>
      </c>
      <c r="QI15" s="61">
        <v>2</v>
      </c>
      <c r="QJ15" s="61">
        <v>0</v>
      </c>
      <c r="QK15" s="61"/>
      <c r="QL15" s="219" t="s">
        <v>135</v>
      </c>
      <c r="QM15" s="61">
        <v>2</v>
      </c>
      <c r="QN15" s="61">
        <v>0</v>
      </c>
      <c r="QO15" s="61"/>
      <c r="QP15" s="219" t="s">
        <v>135</v>
      </c>
      <c r="QQ15" s="61">
        <v>2</v>
      </c>
      <c r="QR15" s="61">
        <v>0</v>
      </c>
      <c r="QS15" s="61"/>
      <c r="QT15" s="219" t="s">
        <v>135</v>
      </c>
      <c r="QU15" s="61">
        <v>2</v>
      </c>
      <c r="QV15" s="61">
        <v>0</v>
      </c>
      <c r="QW15" s="61"/>
      <c r="QX15" s="219" t="s">
        <v>135</v>
      </c>
      <c r="QY15" s="61">
        <v>2</v>
      </c>
      <c r="QZ15" s="61">
        <v>0</v>
      </c>
      <c r="RA15" s="61"/>
      <c r="RB15" s="219" t="s">
        <v>135</v>
      </c>
      <c r="RC15" s="61">
        <v>2</v>
      </c>
      <c r="RD15" s="61">
        <v>0</v>
      </c>
      <c r="RE15" s="61"/>
      <c r="RF15" s="219" t="s">
        <v>135</v>
      </c>
      <c r="RG15" s="61">
        <v>2</v>
      </c>
      <c r="RH15" s="61">
        <v>0</v>
      </c>
      <c r="RI15" s="61"/>
      <c r="RJ15" s="219" t="s">
        <v>135</v>
      </c>
      <c r="RK15" s="61">
        <v>2</v>
      </c>
      <c r="RL15" s="61">
        <v>0</v>
      </c>
      <c r="RM15" s="61"/>
      <c r="RN15" s="219" t="s">
        <v>135</v>
      </c>
      <c r="RO15" s="61">
        <v>2</v>
      </c>
      <c r="RP15" s="61">
        <v>0</v>
      </c>
      <c r="RQ15" s="61"/>
      <c r="RR15" s="219" t="s">
        <v>135</v>
      </c>
      <c r="RS15" s="61">
        <v>2</v>
      </c>
      <c r="RT15" s="61">
        <v>0</v>
      </c>
      <c r="RU15" s="61"/>
      <c r="RV15" s="219" t="s">
        <v>135</v>
      </c>
      <c r="RW15" s="61">
        <v>2</v>
      </c>
      <c r="RX15" s="61">
        <v>0</v>
      </c>
      <c r="RY15" s="61"/>
      <c r="RZ15" s="219" t="s">
        <v>135</v>
      </c>
      <c r="SA15" s="61">
        <v>2</v>
      </c>
      <c r="SB15" s="61">
        <v>0</v>
      </c>
      <c r="SC15" s="61"/>
      <c r="SD15" s="219" t="s">
        <v>135</v>
      </c>
      <c r="SE15" s="61">
        <v>2</v>
      </c>
      <c r="SF15" s="61">
        <v>0</v>
      </c>
      <c r="SG15" s="61"/>
      <c r="SH15" s="219" t="s">
        <v>135</v>
      </c>
      <c r="SI15" s="61">
        <v>2</v>
      </c>
      <c r="SJ15" s="61">
        <v>0</v>
      </c>
      <c r="SK15" s="61"/>
      <c r="SL15" s="219" t="s">
        <v>135</v>
      </c>
      <c r="SM15" s="61">
        <v>2</v>
      </c>
      <c r="SN15" s="61">
        <v>0</v>
      </c>
      <c r="SO15" s="61"/>
      <c r="SP15" s="219" t="s">
        <v>135</v>
      </c>
      <c r="SQ15" s="61">
        <v>2</v>
      </c>
      <c r="SR15" s="61">
        <v>0</v>
      </c>
      <c r="SS15" s="61"/>
      <c r="ST15" s="219" t="s">
        <v>135</v>
      </c>
      <c r="SU15" s="61">
        <v>2</v>
      </c>
      <c r="SV15" s="61">
        <v>0</v>
      </c>
      <c r="SW15" s="61"/>
      <c r="SX15" s="219" t="s">
        <v>135</v>
      </c>
      <c r="SY15" s="61">
        <v>2</v>
      </c>
      <c r="SZ15" s="61">
        <v>0</v>
      </c>
      <c r="TA15" s="61"/>
      <c r="TB15" s="219" t="s">
        <v>135</v>
      </c>
      <c r="TC15" s="61">
        <v>2</v>
      </c>
      <c r="TD15" s="61">
        <v>0</v>
      </c>
      <c r="TE15" s="61"/>
      <c r="TF15" s="219" t="s">
        <v>135</v>
      </c>
      <c r="TG15" s="61">
        <v>2</v>
      </c>
      <c r="TH15" s="61">
        <v>0</v>
      </c>
      <c r="TI15" s="61"/>
      <c r="TJ15" s="219" t="s">
        <v>135</v>
      </c>
      <c r="TK15" s="61">
        <v>2</v>
      </c>
      <c r="TL15" s="61">
        <v>0</v>
      </c>
      <c r="TM15" s="61"/>
      <c r="TN15" s="219" t="s">
        <v>135</v>
      </c>
      <c r="TO15" s="61">
        <v>2</v>
      </c>
      <c r="TP15" s="61">
        <v>0</v>
      </c>
      <c r="TQ15" s="61"/>
      <c r="TR15" s="219" t="s">
        <v>135</v>
      </c>
      <c r="TS15" s="61">
        <v>2</v>
      </c>
      <c r="TT15" s="61">
        <v>0</v>
      </c>
      <c r="TU15" s="61"/>
      <c r="TV15" s="219" t="s">
        <v>135</v>
      </c>
      <c r="TW15" s="61">
        <v>2</v>
      </c>
      <c r="TX15" s="61">
        <v>0</v>
      </c>
      <c r="TY15" s="61"/>
      <c r="TZ15" s="219" t="s">
        <v>135</v>
      </c>
      <c r="UA15" s="61">
        <v>2</v>
      </c>
      <c r="UB15" s="61">
        <v>0</v>
      </c>
      <c r="UC15" s="61"/>
      <c r="UD15" s="219" t="s">
        <v>135</v>
      </c>
      <c r="UE15" s="61">
        <v>2</v>
      </c>
      <c r="UF15" s="61">
        <v>0</v>
      </c>
      <c r="UG15" s="61"/>
      <c r="UH15" s="219" t="s">
        <v>135</v>
      </c>
      <c r="UI15" s="61">
        <v>2</v>
      </c>
      <c r="UJ15" s="61">
        <v>0</v>
      </c>
      <c r="UK15" s="61"/>
      <c r="UL15" s="219" t="s">
        <v>135</v>
      </c>
      <c r="UM15" s="61">
        <v>2</v>
      </c>
      <c r="UN15" s="61">
        <v>0</v>
      </c>
      <c r="UO15" s="61"/>
      <c r="UP15" s="219" t="s">
        <v>135</v>
      </c>
      <c r="UQ15" s="61">
        <v>2</v>
      </c>
      <c r="UR15" s="61">
        <v>0</v>
      </c>
      <c r="US15" s="61"/>
      <c r="UT15" s="219" t="s">
        <v>135</v>
      </c>
      <c r="UU15" s="61">
        <v>2</v>
      </c>
      <c r="UV15" s="61">
        <v>0</v>
      </c>
      <c r="UW15" s="61"/>
      <c r="UX15" s="219" t="s">
        <v>135</v>
      </c>
      <c r="UY15" s="61">
        <v>2</v>
      </c>
      <c r="UZ15" s="61">
        <v>0</v>
      </c>
      <c r="VA15" s="61"/>
      <c r="VB15" s="219" t="s">
        <v>135</v>
      </c>
      <c r="VC15" s="61">
        <v>2</v>
      </c>
      <c r="VD15" s="61">
        <v>0</v>
      </c>
      <c r="VE15" s="61"/>
      <c r="VF15" s="219" t="s">
        <v>135</v>
      </c>
      <c r="VG15" s="61">
        <v>2</v>
      </c>
      <c r="VH15" s="61">
        <v>0</v>
      </c>
      <c r="VI15" s="61"/>
      <c r="VJ15" s="219" t="s">
        <v>135</v>
      </c>
      <c r="VK15" s="61">
        <v>2</v>
      </c>
      <c r="VL15" s="61">
        <v>0</v>
      </c>
      <c r="VM15" s="61"/>
      <c r="VN15" s="219" t="s">
        <v>135</v>
      </c>
      <c r="VO15" s="61">
        <v>2</v>
      </c>
      <c r="VP15" s="61">
        <v>0</v>
      </c>
      <c r="VQ15" s="61"/>
      <c r="VR15" s="219" t="s">
        <v>135</v>
      </c>
      <c r="VS15" s="61">
        <v>2</v>
      </c>
      <c r="VT15" s="61">
        <v>0</v>
      </c>
      <c r="VU15" s="61"/>
      <c r="VV15" s="219" t="s">
        <v>135</v>
      </c>
      <c r="VW15" s="61">
        <v>2</v>
      </c>
      <c r="VX15" s="61">
        <v>0</v>
      </c>
      <c r="VY15" s="61"/>
      <c r="VZ15" s="219" t="s">
        <v>135</v>
      </c>
      <c r="WA15" s="61">
        <v>2</v>
      </c>
      <c r="WB15" s="61">
        <v>0</v>
      </c>
      <c r="WC15" s="61"/>
      <c r="WD15" s="219" t="s">
        <v>135</v>
      </c>
      <c r="WE15" s="61">
        <v>2</v>
      </c>
      <c r="WF15" s="61">
        <v>0</v>
      </c>
      <c r="WG15" s="61"/>
      <c r="WH15" s="219" t="s">
        <v>135</v>
      </c>
      <c r="WI15" s="61">
        <v>2</v>
      </c>
      <c r="WJ15" s="61">
        <v>0</v>
      </c>
      <c r="WK15" s="61"/>
      <c r="WL15" s="219" t="s">
        <v>135</v>
      </c>
      <c r="WM15" s="61">
        <v>2</v>
      </c>
      <c r="WN15" s="61">
        <v>0</v>
      </c>
      <c r="WO15" s="61"/>
      <c r="WP15" s="219" t="s">
        <v>135</v>
      </c>
      <c r="WQ15" s="61">
        <v>2</v>
      </c>
      <c r="WR15" s="61">
        <v>0</v>
      </c>
      <c r="WS15" s="61"/>
      <c r="WT15" s="219" t="s">
        <v>135</v>
      </c>
      <c r="WU15" s="61">
        <v>2</v>
      </c>
      <c r="WV15" s="61">
        <v>0</v>
      </c>
      <c r="WW15" s="61"/>
      <c r="WX15" s="219" t="s">
        <v>135</v>
      </c>
      <c r="WY15" s="61">
        <v>2</v>
      </c>
      <c r="WZ15" s="61">
        <v>0</v>
      </c>
      <c r="XA15" s="61"/>
      <c r="XB15" s="219" t="s">
        <v>135</v>
      </c>
      <c r="XC15" s="61">
        <v>2</v>
      </c>
      <c r="XD15" s="61">
        <v>0</v>
      </c>
      <c r="XE15" s="61"/>
      <c r="XF15" s="219" t="s">
        <v>135</v>
      </c>
      <c r="XG15" s="61">
        <v>2</v>
      </c>
      <c r="XH15" s="61">
        <v>0</v>
      </c>
      <c r="XI15" s="61"/>
      <c r="XJ15" s="219" t="s">
        <v>135</v>
      </c>
      <c r="XK15" s="61">
        <v>2</v>
      </c>
      <c r="XL15" s="61">
        <v>0</v>
      </c>
      <c r="XM15" s="61"/>
      <c r="XN15" s="219" t="s">
        <v>135</v>
      </c>
      <c r="XO15" s="61">
        <v>2</v>
      </c>
      <c r="XP15" s="61">
        <v>0</v>
      </c>
      <c r="XQ15" s="61"/>
      <c r="XR15" s="219" t="s">
        <v>135</v>
      </c>
      <c r="XS15" s="61">
        <v>2</v>
      </c>
      <c r="XT15" s="61">
        <v>0</v>
      </c>
      <c r="XU15" s="61"/>
      <c r="XV15" s="219" t="s">
        <v>135</v>
      </c>
      <c r="XW15" s="61">
        <v>2</v>
      </c>
      <c r="XX15" s="61">
        <v>0</v>
      </c>
      <c r="XY15" s="61"/>
      <c r="XZ15" s="219" t="s">
        <v>135</v>
      </c>
      <c r="YA15" s="61">
        <v>2</v>
      </c>
      <c r="YB15" s="61">
        <v>0</v>
      </c>
      <c r="YC15" s="61"/>
      <c r="YD15" s="219" t="s">
        <v>135</v>
      </c>
      <c r="YE15" s="61">
        <v>2</v>
      </c>
      <c r="YF15" s="61">
        <v>0</v>
      </c>
      <c r="YG15" s="61"/>
      <c r="YH15" s="219" t="s">
        <v>135</v>
      </c>
      <c r="YI15" s="61">
        <v>2</v>
      </c>
      <c r="YJ15" s="61">
        <v>0</v>
      </c>
      <c r="YK15" s="61"/>
      <c r="YL15" s="219" t="s">
        <v>135</v>
      </c>
      <c r="YM15" s="61">
        <v>2</v>
      </c>
      <c r="YN15" s="61">
        <v>0</v>
      </c>
      <c r="YO15" s="61"/>
      <c r="YP15" s="219" t="s">
        <v>135</v>
      </c>
      <c r="YQ15" s="61">
        <v>2</v>
      </c>
      <c r="YR15" s="61">
        <v>0</v>
      </c>
      <c r="YS15" s="61"/>
      <c r="YT15" s="219" t="s">
        <v>135</v>
      </c>
      <c r="YU15" s="61">
        <v>2</v>
      </c>
      <c r="YV15" s="61">
        <v>0</v>
      </c>
      <c r="YW15" s="61"/>
      <c r="YX15" s="219" t="s">
        <v>135</v>
      </c>
      <c r="YY15" s="61">
        <v>2</v>
      </c>
      <c r="YZ15" s="61">
        <v>0</v>
      </c>
      <c r="ZA15" s="61"/>
      <c r="ZB15" s="219" t="s">
        <v>135</v>
      </c>
      <c r="ZC15" s="61">
        <v>2</v>
      </c>
      <c r="ZD15" s="61">
        <v>0</v>
      </c>
      <c r="ZE15" s="61"/>
      <c r="ZF15" s="219" t="s">
        <v>135</v>
      </c>
      <c r="ZG15" s="61">
        <v>2</v>
      </c>
      <c r="ZH15" s="61">
        <v>0</v>
      </c>
      <c r="ZI15" s="61"/>
      <c r="ZJ15" s="219" t="s">
        <v>135</v>
      </c>
      <c r="ZK15" s="61">
        <v>2</v>
      </c>
      <c r="ZL15" s="61">
        <v>0</v>
      </c>
      <c r="ZM15" s="61"/>
      <c r="ZN15" s="219" t="s">
        <v>135</v>
      </c>
      <c r="ZO15" s="61">
        <v>2</v>
      </c>
      <c r="ZP15" s="61">
        <v>0</v>
      </c>
      <c r="ZQ15" s="61"/>
      <c r="ZR15" s="219" t="s">
        <v>135</v>
      </c>
      <c r="ZS15" s="61">
        <v>2</v>
      </c>
      <c r="ZT15" s="61">
        <v>0</v>
      </c>
      <c r="ZU15" s="61"/>
      <c r="ZV15" s="219" t="s">
        <v>135</v>
      </c>
      <c r="ZW15" s="61">
        <v>2</v>
      </c>
      <c r="ZX15" s="61">
        <v>0</v>
      </c>
      <c r="ZY15" s="61"/>
      <c r="ZZ15" s="219" t="s">
        <v>135</v>
      </c>
      <c r="AAA15" s="61">
        <v>2</v>
      </c>
      <c r="AAB15" s="61">
        <v>0</v>
      </c>
      <c r="AAC15" s="61"/>
      <c r="AAD15" s="219" t="s">
        <v>135</v>
      </c>
      <c r="AAE15" s="61">
        <v>2</v>
      </c>
      <c r="AAF15" s="61">
        <v>0</v>
      </c>
      <c r="AAG15" s="61"/>
      <c r="AAH15" s="219" t="s">
        <v>135</v>
      </c>
      <c r="AAI15" s="61">
        <v>2</v>
      </c>
      <c r="AAJ15" s="61">
        <v>0</v>
      </c>
      <c r="AAK15" s="61"/>
      <c r="AAL15" s="219" t="s">
        <v>135</v>
      </c>
      <c r="AAM15" s="61">
        <v>2</v>
      </c>
      <c r="AAN15" s="61">
        <v>0</v>
      </c>
      <c r="AAO15" s="61"/>
      <c r="AAP15" s="219" t="s">
        <v>135</v>
      </c>
      <c r="AAQ15" s="61">
        <v>2</v>
      </c>
      <c r="AAR15" s="61">
        <v>0</v>
      </c>
      <c r="AAS15" s="61"/>
      <c r="AAT15" s="219" t="s">
        <v>135</v>
      </c>
      <c r="AAU15" s="61">
        <v>2</v>
      </c>
      <c r="AAV15" s="61">
        <v>0</v>
      </c>
      <c r="AAW15" s="61"/>
      <c r="AAX15" s="219" t="s">
        <v>135</v>
      </c>
      <c r="AAY15" s="61">
        <v>2</v>
      </c>
      <c r="AAZ15" s="61">
        <v>0</v>
      </c>
      <c r="ABA15" s="61"/>
      <c r="ABB15" s="219" t="s">
        <v>135</v>
      </c>
      <c r="ABC15" s="61">
        <v>2</v>
      </c>
      <c r="ABD15" s="61">
        <v>0</v>
      </c>
      <c r="ABE15" s="61"/>
      <c r="ABF15" s="219" t="s">
        <v>135</v>
      </c>
      <c r="ABG15" s="61">
        <v>2</v>
      </c>
      <c r="ABH15" s="61">
        <v>0</v>
      </c>
      <c r="ABI15" s="61"/>
      <c r="ABJ15" s="219" t="s">
        <v>135</v>
      </c>
      <c r="ABK15" s="61">
        <v>2</v>
      </c>
      <c r="ABL15" s="61">
        <v>0</v>
      </c>
      <c r="ABM15" s="61"/>
      <c r="ABN15" s="219" t="s">
        <v>135</v>
      </c>
      <c r="ABO15" s="61">
        <v>2</v>
      </c>
      <c r="ABP15" s="61">
        <v>0</v>
      </c>
      <c r="ABQ15" s="61"/>
      <c r="ABR15" s="219" t="s">
        <v>135</v>
      </c>
      <c r="ABS15" s="61">
        <v>2</v>
      </c>
      <c r="ABT15" s="61">
        <v>0</v>
      </c>
      <c r="ABU15" s="61"/>
      <c r="ABV15" s="219" t="s">
        <v>135</v>
      </c>
      <c r="ABW15" s="61">
        <v>2</v>
      </c>
      <c r="ABX15" s="61">
        <v>0</v>
      </c>
      <c r="ABY15" s="61"/>
      <c r="ABZ15" s="219" t="s">
        <v>135</v>
      </c>
      <c r="ACA15" s="61">
        <v>2</v>
      </c>
      <c r="ACB15" s="61">
        <v>0</v>
      </c>
      <c r="ACC15" s="61"/>
      <c r="ACD15" s="219" t="s">
        <v>135</v>
      </c>
      <c r="ACE15" s="61">
        <v>2</v>
      </c>
      <c r="ACF15" s="61">
        <v>0</v>
      </c>
      <c r="ACG15" s="61"/>
      <c r="ACH15" s="219" t="s">
        <v>135</v>
      </c>
      <c r="ACI15" s="61">
        <v>2</v>
      </c>
      <c r="ACJ15" s="61">
        <v>0</v>
      </c>
      <c r="ACK15" s="61"/>
      <c r="ACL15" s="219" t="s">
        <v>135</v>
      </c>
      <c r="ACM15" s="61">
        <v>2</v>
      </c>
      <c r="ACN15" s="61">
        <v>0</v>
      </c>
      <c r="ACO15" s="61"/>
      <c r="ACP15" s="219" t="s">
        <v>135</v>
      </c>
      <c r="ACQ15" s="61">
        <v>2</v>
      </c>
      <c r="ACR15" s="61">
        <v>0</v>
      </c>
      <c r="ACS15" s="61"/>
      <c r="ACT15" s="219" t="s">
        <v>135</v>
      </c>
      <c r="ACU15" s="61">
        <v>2</v>
      </c>
      <c r="ACV15" s="61">
        <v>0</v>
      </c>
      <c r="ACW15" s="61"/>
      <c r="ACX15" s="219" t="s">
        <v>135</v>
      </c>
      <c r="ACY15" s="61">
        <v>2</v>
      </c>
      <c r="ACZ15" s="61">
        <v>0</v>
      </c>
      <c r="ADA15" s="61"/>
      <c r="ADB15" s="219" t="s">
        <v>135</v>
      </c>
      <c r="ADC15" s="61">
        <v>2</v>
      </c>
      <c r="ADD15" s="61">
        <v>0</v>
      </c>
      <c r="ADE15" s="61"/>
      <c r="ADF15" s="219" t="s">
        <v>135</v>
      </c>
      <c r="ADG15" s="61">
        <v>2</v>
      </c>
      <c r="ADH15" s="61">
        <v>0</v>
      </c>
      <c r="ADI15" s="61"/>
      <c r="ADJ15" s="219" t="s">
        <v>135</v>
      </c>
      <c r="ADK15" s="61">
        <v>2</v>
      </c>
      <c r="ADL15" s="61">
        <v>0</v>
      </c>
      <c r="ADM15" s="61"/>
      <c r="ADN15" s="219" t="s">
        <v>135</v>
      </c>
      <c r="ADO15" s="61">
        <v>2</v>
      </c>
      <c r="ADP15" s="61">
        <v>0</v>
      </c>
      <c r="ADQ15" s="61"/>
      <c r="ADR15" s="219" t="s">
        <v>135</v>
      </c>
      <c r="ADS15" s="61">
        <v>2</v>
      </c>
      <c r="ADT15" s="61">
        <v>0</v>
      </c>
      <c r="ADU15" s="61"/>
      <c r="ADV15" s="219" t="s">
        <v>135</v>
      </c>
      <c r="ADW15" s="61">
        <v>2</v>
      </c>
      <c r="ADX15" s="61">
        <v>0</v>
      </c>
      <c r="ADY15" s="61"/>
      <c r="ADZ15" s="219" t="s">
        <v>135</v>
      </c>
      <c r="AEA15" s="61">
        <v>2</v>
      </c>
      <c r="AEB15" s="61">
        <v>0</v>
      </c>
      <c r="AEC15" s="61"/>
      <c r="AED15" s="219" t="s">
        <v>135</v>
      </c>
      <c r="AEE15" s="61">
        <v>2</v>
      </c>
      <c r="AEF15" s="61">
        <v>0</v>
      </c>
      <c r="AEG15" s="61"/>
      <c r="AEH15" s="219" t="s">
        <v>135</v>
      </c>
      <c r="AEI15" s="61">
        <v>2</v>
      </c>
      <c r="AEJ15" s="61">
        <v>0</v>
      </c>
      <c r="AEK15" s="61"/>
      <c r="AEL15" s="219" t="s">
        <v>135</v>
      </c>
      <c r="AEM15" s="61">
        <v>2</v>
      </c>
      <c r="AEN15" s="61">
        <v>0</v>
      </c>
      <c r="AEO15" s="61"/>
      <c r="AEP15" s="219" t="s">
        <v>135</v>
      </c>
      <c r="AEQ15" s="61">
        <v>2</v>
      </c>
      <c r="AER15" s="61">
        <v>0</v>
      </c>
      <c r="AES15" s="61"/>
      <c r="AET15" s="219" t="s">
        <v>135</v>
      </c>
      <c r="AEU15" s="61">
        <v>2</v>
      </c>
      <c r="AEV15" s="61">
        <v>0</v>
      </c>
      <c r="AEW15" s="61"/>
      <c r="AEX15" s="219" t="s">
        <v>135</v>
      </c>
      <c r="AEY15" s="61">
        <v>2</v>
      </c>
      <c r="AEZ15" s="61">
        <v>0</v>
      </c>
      <c r="AFA15" s="61"/>
      <c r="AFB15" s="219" t="s">
        <v>135</v>
      </c>
      <c r="AFC15" s="61">
        <v>2</v>
      </c>
      <c r="AFD15" s="61">
        <v>0</v>
      </c>
      <c r="AFE15" s="61"/>
      <c r="AFF15" s="219" t="s">
        <v>135</v>
      </c>
      <c r="AFG15" s="61">
        <v>2</v>
      </c>
      <c r="AFH15" s="61">
        <v>0</v>
      </c>
      <c r="AFI15" s="61"/>
      <c r="AFJ15" s="219" t="s">
        <v>135</v>
      </c>
      <c r="AFK15" s="61">
        <v>2</v>
      </c>
      <c r="AFL15" s="61">
        <v>0</v>
      </c>
      <c r="AFM15" s="61"/>
      <c r="AFN15" s="219" t="s">
        <v>135</v>
      </c>
      <c r="AFO15" s="61">
        <v>2</v>
      </c>
      <c r="AFP15" s="61">
        <v>0</v>
      </c>
      <c r="AFQ15" s="61"/>
      <c r="AFR15" s="219" t="s">
        <v>135</v>
      </c>
      <c r="AFS15" s="61">
        <v>2</v>
      </c>
      <c r="AFT15" s="61">
        <v>0</v>
      </c>
      <c r="AFU15" s="61"/>
      <c r="AFV15" s="219" t="s">
        <v>135</v>
      </c>
      <c r="AFW15" s="61">
        <v>2</v>
      </c>
      <c r="AFX15" s="61">
        <v>0</v>
      </c>
      <c r="AFY15" s="61"/>
      <c r="AFZ15" s="219" t="s">
        <v>135</v>
      </c>
      <c r="AGA15" s="61">
        <v>2</v>
      </c>
      <c r="AGB15" s="61">
        <v>0</v>
      </c>
      <c r="AGC15" s="61"/>
      <c r="AGD15" s="219" t="s">
        <v>135</v>
      </c>
      <c r="AGE15" s="61">
        <v>2</v>
      </c>
      <c r="AGF15" s="61">
        <v>0</v>
      </c>
      <c r="AGG15" s="61"/>
      <c r="AGH15" s="219" t="s">
        <v>135</v>
      </c>
      <c r="AGI15" s="61">
        <v>2</v>
      </c>
      <c r="AGJ15" s="61">
        <v>0</v>
      </c>
      <c r="AGK15" s="61"/>
      <c r="AGL15" s="219" t="s">
        <v>135</v>
      </c>
      <c r="AGM15" s="61">
        <v>2</v>
      </c>
      <c r="AGN15" s="61">
        <v>0</v>
      </c>
      <c r="AGO15" s="61"/>
      <c r="AGP15" s="219" t="s">
        <v>135</v>
      </c>
      <c r="AGQ15" s="61">
        <v>2</v>
      </c>
      <c r="AGR15" s="61">
        <v>0</v>
      </c>
      <c r="AGS15" s="61"/>
      <c r="AGT15" s="219" t="s">
        <v>135</v>
      </c>
      <c r="AGU15" s="61">
        <v>2</v>
      </c>
      <c r="AGV15" s="61">
        <v>0</v>
      </c>
      <c r="AGW15" s="61"/>
      <c r="AGX15" s="219" t="s">
        <v>135</v>
      </c>
      <c r="AGY15" s="61">
        <v>2</v>
      </c>
      <c r="AGZ15" s="61">
        <v>0</v>
      </c>
      <c r="AHA15" s="61"/>
      <c r="AHB15" s="219" t="s">
        <v>135</v>
      </c>
      <c r="AHC15" s="61">
        <v>2</v>
      </c>
      <c r="AHD15" s="61">
        <v>0</v>
      </c>
      <c r="AHE15" s="61"/>
      <c r="AHF15" s="219" t="s">
        <v>135</v>
      </c>
      <c r="AHG15" s="61">
        <v>2</v>
      </c>
      <c r="AHH15" s="61">
        <v>0</v>
      </c>
      <c r="AHI15" s="61"/>
      <c r="AHJ15" s="219" t="s">
        <v>135</v>
      </c>
      <c r="AHK15" s="61">
        <v>2</v>
      </c>
      <c r="AHL15" s="61">
        <v>0</v>
      </c>
      <c r="AHM15" s="61"/>
      <c r="AHN15" s="219" t="s">
        <v>135</v>
      </c>
      <c r="AHO15" s="61">
        <v>2</v>
      </c>
      <c r="AHP15" s="61">
        <v>0</v>
      </c>
      <c r="AHQ15" s="61"/>
      <c r="AHR15" s="219" t="s">
        <v>135</v>
      </c>
      <c r="AHS15" s="61">
        <v>2</v>
      </c>
      <c r="AHT15" s="61">
        <v>0</v>
      </c>
      <c r="AHU15" s="61"/>
      <c r="AHV15" s="219" t="s">
        <v>135</v>
      </c>
      <c r="AHW15" s="61">
        <v>2</v>
      </c>
      <c r="AHX15" s="61">
        <v>0</v>
      </c>
      <c r="AHY15" s="61"/>
      <c r="AHZ15" s="219" t="s">
        <v>135</v>
      </c>
      <c r="AIA15" s="61">
        <v>2</v>
      </c>
      <c r="AIB15" s="61">
        <v>0</v>
      </c>
      <c r="AIC15" s="61"/>
      <c r="AID15" s="219" t="s">
        <v>135</v>
      </c>
      <c r="AIE15" s="61">
        <v>2</v>
      </c>
      <c r="AIF15" s="61">
        <v>0</v>
      </c>
      <c r="AIG15" s="61"/>
      <c r="AIH15" s="219" t="s">
        <v>135</v>
      </c>
      <c r="AII15" s="61">
        <v>2</v>
      </c>
      <c r="AIJ15" s="61">
        <v>0</v>
      </c>
      <c r="AIK15" s="61"/>
      <c r="AIL15" s="219" t="s">
        <v>135</v>
      </c>
      <c r="AIM15" s="61">
        <v>2</v>
      </c>
      <c r="AIN15" s="61">
        <v>0</v>
      </c>
      <c r="AIO15" s="61"/>
      <c r="AIP15" s="219" t="s">
        <v>135</v>
      </c>
      <c r="AIQ15" s="61">
        <v>2</v>
      </c>
      <c r="AIR15" s="61">
        <v>0</v>
      </c>
      <c r="AIS15" s="61"/>
      <c r="AIT15" s="219" t="s">
        <v>135</v>
      </c>
      <c r="AIU15" s="61">
        <v>2</v>
      </c>
      <c r="AIV15" s="61">
        <v>0</v>
      </c>
      <c r="AIW15" s="61"/>
      <c r="AIX15" s="219" t="s">
        <v>135</v>
      </c>
      <c r="AIY15" s="61">
        <v>2</v>
      </c>
      <c r="AIZ15" s="61">
        <v>0</v>
      </c>
      <c r="AJA15" s="61"/>
      <c r="AJB15" s="219" t="s">
        <v>135</v>
      </c>
      <c r="AJC15" s="61">
        <v>2</v>
      </c>
      <c r="AJD15" s="61">
        <v>0</v>
      </c>
      <c r="AJE15" s="61"/>
      <c r="AJF15" s="219" t="s">
        <v>135</v>
      </c>
      <c r="AJG15" s="61">
        <v>2</v>
      </c>
      <c r="AJH15" s="61">
        <v>0</v>
      </c>
      <c r="AJI15" s="61"/>
      <c r="AJJ15" s="219" t="s">
        <v>135</v>
      </c>
      <c r="AJK15" s="61">
        <v>2</v>
      </c>
      <c r="AJL15" s="61">
        <v>0</v>
      </c>
      <c r="AJM15" s="61"/>
      <c r="AJN15" s="219" t="s">
        <v>135</v>
      </c>
      <c r="AJO15" s="61">
        <v>2</v>
      </c>
      <c r="AJP15" s="61">
        <v>0</v>
      </c>
      <c r="AJQ15" s="61"/>
      <c r="AJR15" s="219" t="s">
        <v>135</v>
      </c>
      <c r="AJS15" s="61">
        <v>2</v>
      </c>
      <c r="AJT15" s="61">
        <v>0</v>
      </c>
      <c r="AJU15" s="61"/>
      <c r="AJV15" s="219" t="s">
        <v>135</v>
      </c>
      <c r="AJW15" s="61">
        <v>2</v>
      </c>
      <c r="AJX15" s="61">
        <v>0</v>
      </c>
      <c r="AJY15" s="61"/>
      <c r="AJZ15" s="219" t="s">
        <v>135</v>
      </c>
      <c r="AKA15" s="61">
        <v>2</v>
      </c>
      <c r="AKB15" s="61">
        <v>0</v>
      </c>
      <c r="AKC15" s="61"/>
      <c r="AKD15" s="219" t="s">
        <v>135</v>
      </c>
      <c r="AKE15" s="61">
        <v>2</v>
      </c>
      <c r="AKF15" s="61">
        <v>0</v>
      </c>
      <c r="AKG15" s="61"/>
      <c r="AKH15" s="219" t="s">
        <v>135</v>
      </c>
      <c r="AKI15" s="61">
        <v>2</v>
      </c>
      <c r="AKJ15" s="61">
        <v>0</v>
      </c>
      <c r="AKK15" s="61"/>
      <c r="AKL15" s="219" t="s">
        <v>135</v>
      </c>
      <c r="AKM15" s="61">
        <v>2</v>
      </c>
      <c r="AKN15" s="61">
        <v>0</v>
      </c>
      <c r="AKO15" s="61"/>
      <c r="AKP15" s="219" t="s">
        <v>135</v>
      </c>
      <c r="AKQ15" s="61">
        <v>2</v>
      </c>
      <c r="AKR15" s="61">
        <v>0</v>
      </c>
      <c r="AKS15" s="61"/>
      <c r="AKT15" s="219" t="s">
        <v>135</v>
      </c>
      <c r="AKU15" s="61">
        <v>2</v>
      </c>
      <c r="AKV15" s="61">
        <v>0</v>
      </c>
      <c r="AKW15" s="61"/>
      <c r="AKX15" s="219" t="s">
        <v>135</v>
      </c>
      <c r="AKY15" s="61">
        <v>2</v>
      </c>
      <c r="AKZ15" s="61">
        <v>0</v>
      </c>
      <c r="ALA15" s="61"/>
      <c r="ALB15" s="219" t="s">
        <v>135</v>
      </c>
      <c r="ALC15" s="61">
        <v>2</v>
      </c>
      <c r="ALD15" s="61">
        <v>0</v>
      </c>
      <c r="ALE15" s="61"/>
      <c r="ALF15" s="219" t="s">
        <v>135</v>
      </c>
      <c r="ALG15" s="61">
        <v>2</v>
      </c>
      <c r="ALH15" s="61">
        <v>0</v>
      </c>
      <c r="ALI15" s="61"/>
      <c r="ALJ15" s="219" t="s">
        <v>135</v>
      </c>
      <c r="ALK15" s="61">
        <v>2</v>
      </c>
      <c r="ALL15" s="61">
        <v>0</v>
      </c>
      <c r="ALM15" s="61"/>
      <c r="ALN15" s="219" t="s">
        <v>135</v>
      </c>
      <c r="ALO15" s="61">
        <v>2</v>
      </c>
      <c r="ALP15" s="61">
        <v>0</v>
      </c>
      <c r="ALQ15" s="61"/>
      <c r="ALR15" s="219" t="s">
        <v>135</v>
      </c>
      <c r="ALS15" s="61">
        <v>2</v>
      </c>
      <c r="ALT15" s="61">
        <v>0</v>
      </c>
      <c r="ALU15" s="61"/>
      <c r="ALV15" s="219" t="s">
        <v>135</v>
      </c>
      <c r="ALW15" s="61">
        <v>2</v>
      </c>
      <c r="ALX15" s="61">
        <v>0</v>
      </c>
      <c r="ALY15" s="61"/>
      <c r="ALZ15" s="219" t="s">
        <v>135</v>
      </c>
      <c r="AMA15" s="61">
        <v>2</v>
      </c>
      <c r="AMB15" s="61">
        <v>0</v>
      </c>
      <c r="AMC15" s="61"/>
      <c r="AMD15" s="219" t="s">
        <v>135</v>
      </c>
      <c r="AME15" s="61">
        <v>2</v>
      </c>
      <c r="AMF15" s="61">
        <v>0</v>
      </c>
      <c r="AMG15" s="61"/>
      <c r="AMH15" s="219" t="s">
        <v>135</v>
      </c>
      <c r="AMI15" s="61">
        <v>2</v>
      </c>
      <c r="AMJ15" s="61">
        <v>0</v>
      </c>
      <c r="AMK15" s="61"/>
      <c r="AML15" s="219" t="s">
        <v>135</v>
      </c>
      <c r="AMM15" s="61">
        <v>2</v>
      </c>
      <c r="AMN15" s="61">
        <v>0</v>
      </c>
      <c r="AMO15" s="61"/>
      <c r="AMP15" s="219" t="s">
        <v>135</v>
      </c>
      <c r="AMQ15" s="61">
        <v>2</v>
      </c>
      <c r="AMR15" s="61">
        <v>0</v>
      </c>
      <c r="AMS15" s="61"/>
      <c r="AMT15" s="219" t="s">
        <v>135</v>
      </c>
      <c r="AMU15" s="61">
        <v>2</v>
      </c>
      <c r="AMV15" s="61">
        <v>0</v>
      </c>
      <c r="AMW15" s="61"/>
      <c r="AMX15" s="219" t="s">
        <v>135</v>
      </c>
      <c r="AMY15" s="61">
        <v>2</v>
      </c>
      <c r="AMZ15" s="61">
        <v>0</v>
      </c>
      <c r="ANA15" s="61"/>
      <c r="ANB15" s="219" t="s">
        <v>135</v>
      </c>
      <c r="ANC15" s="61">
        <v>2</v>
      </c>
      <c r="AND15" s="61">
        <v>0</v>
      </c>
      <c r="ANE15" s="61"/>
      <c r="ANF15" s="219" t="s">
        <v>135</v>
      </c>
      <c r="ANG15" s="61">
        <v>2</v>
      </c>
      <c r="ANH15" s="61">
        <v>0</v>
      </c>
      <c r="ANI15" s="61"/>
      <c r="ANJ15" s="219" t="s">
        <v>135</v>
      </c>
      <c r="ANK15" s="61">
        <v>2</v>
      </c>
      <c r="ANL15" s="61">
        <v>0</v>
      </c>
      <c r="ANM15" s="61"/>
      <c r="ANN15" s="219" t="s">
        <v>135</v>
      </c>
      <c r="ANO15" s="61">
        <v>2</v>
      </c>
      <c r="ANP15" s="61">
        <v>0</v>
      </c>
      <c r="ANQ15" s="61"/>
      <c r="ANR15" s="219" t="s">
        <v>135</v>
      </c>
      <c r="ANS15" s="61">
        <v>2</v>
      </c>
      <c r="ANT15" s="61">
        <v>0</v>
      </c>
      <c r="ANU15" s="61"/>
      <c r="ANV15" s="219" t="s">
        <v>135</v>
      </c>
      <c r="ANW15" s="61">
        <v>2</v>
      </c>
      <c r="ANX15" s="61">
        <v>0</v>
      </c>
      <c r="ANY15" s="61"/>
      <c r="ANZ15" s="219" t="s">
        <v>135</v>
      </c>
      <c r="AOA15" s="61">
        <v>2</v>
      </c>
      <c r="AOB15" s="61">
        <v>0</v>
      </c>
      <c r="AOC15" s="61"/>
      <c r="AOD15" s="219" t="s">
        <v>135</v>
      </c>
      <c r="AOE15" s="61">
        <v>2</v>
      </c>
      <c r="AOF15" s="61">
        <v>0</v>
      </c>
      <c r="AOG15" s="61"/>
      <c r="AOH15" s="219" t="s">
        <v>135</v>
      </c>
      <c r="AOI15" s="61">
        <v>2</v>
      </c>
      <c r="AOJ15" s="61">
        <v>0</v>
      </c>
      <c r="AOK15" s="61"/>
      <c r="AOL15" s="219" t="s">
        <v>135</v>
      </c>
      <c r="AOM15" s="61">
        <v>2</v>
      </c>
      <c r="AON15" s="61">
        <v>0</v>
      </c>
      <c r="AOO15" s="61"/>
      <c r="AOP15" s="219" t="s">
        <v>135</v>
      </c>
      <c r="AOQ15" s="61">
        <v>2</v>
      </c>
      <c r="AOR15" s="61">
        <v>0</v>
      </c>
      <c r="AOS15" s="61"/>
      <c r="AOT15" s="219" t="s">
        <v>135</v>
      </c>
      <c r="AOU15" s="61">
        <v>2</v>
      </c>
      <c r="AOV15" s="61">
        <v>0</v>
      </c>
      <c r="AOW15" s="61"/>
      <c r="AOX15" s="219" t="s">
        <v>135</v>
      </c>
      <c r="AOY15" s="61">
        <v>2</v>
      </c>
      <c r="AOZ15" s="61">
        <v>0</v>
      </c>
      <c r="APA15" s="61"/>
      <c r="APB15" s="219" t="s">
        <v>135</v>
      </c>
      <c r="APC15" s="61">
        <v>2</v>
      </c>
      <c r="APD15" s="61">
        <v>0</v>
      </c>
      <c r="APE15" s="61"/>
      <c r="APF15" s="219" t="s">
        <v>135</v>
      </c>
      <c r="APG15" s="61">
        <v>2</v>
      </c>
      <c r="APH15" s="61">
        <v>0</v>
      </c>
      <c r="API15" s="61"/>
      <c r="APJ15" s="219" t="s">
        <v>135</v>
      </c>
      <c r="APK15" s="61">
        <v>2</v>
      </c>
      <c r="APL15" s="61">
        <v>0</v>
      </c>
      <c r="APM15" s="61"/>
      <c r="APN15" s="219" t="s">
        <v>135</v>
      </c>
      <c r="APO15" s="61">
        <v>2</v>
      </c>
      <c r="APP15" s="61">
        <v>0</v>
      </c>
      <c r="APQ15" s="61"/>
      <c r="APR15" s="219" t="s">
        <v>135</v>
      </c>
      <c r="APS15" s="61">
        <v>2</v>
      </c>
      <c r="APT15" s="61">
        <v>0</v>
      </c>
      <c r="APU15" s="61"/>
      <c r="APV15" s="219" t="s">
        <v>135</v>
      </c>
      <c r="APW15" s="61">
        <v>2</v>
      </c>
      <c r="APX15" s="61">
        <v>0</v>
      </c>
      <c r="APY15" s="61"/>
      <c r="APZ15" s="219" t="s">
        <v>135</v>
      </c>
      <c r="AQA15" s="61">
        <v>2</v>
      </c>
      <c r="AQB15" s="61">
        <v>0</v>
      </c>
      <c r="AQC15" s="61"/>
      <c r="AQD15" s="219" t="s">
        <v>135</v>
      </c>
      <c r="AQE15" s="61">
        <v>2</v>
      </c>
      <c r="AQF15" s="61">
        <v>0</v>
      </c>
      <c r="AQG15" s="61"/>
      <c r="AQH15" s="219" t="s">
        <v>135</v>
      </c>
      <c r="AQI15" s="61">
        <v>2</v>
      </c>
      <c r="AQJ15" s="61">
        <v>0</v>
      </c>
      <c r="AQK15" s="61"/>
      <c r="AQL15" s="219" t="s">
        <v>135</v>
      </c>
      <c r="AQM15" s="61">
        <v>2</v>
      </c>
      <c r="AQN15" s="61">
        <v>0</v>
      </c>
      <c r="AQO15" s="61"/>
      <c r="AQP15" s="219" t="s">
        <v>135</v>
      </c>
      <c r="AQQ15" s="61">
        <v>2</v>
      </c>
      <c r="AQR15" s="61">
        <v>0</v>
      </c>
      <c r="AQS15" s="61"/>
      <c r="AQT15" s="219" t="s">
        <v>135</v>
      </c>
      <c r="AQU15" s="61">
        <v>2</v>
      </c>
      <c r="AQV15" s="61">
        <v>0</v>
      </c>
      <c r="AQW15" s="61"/>
      <c r="AQX15" s="219" t="s">
        <v>135</v>
      </c>
      <c r="AQY15" s="61">
        <v>2</v>
      </c>
      <c r="AQZ15" s="61">
        <v>0</v>
      </c>
      <c r="ARA15" s="61"/>
      <c r="ARB15" s="219" t="s">
        <v>135</v>
      </c>
      <c r="ARC15" s="61">
        <v>2</v>
      </c>
      <c r="ARD15" s="61">
        <v>0</v>
      </c>
      <c r="ARE15" s="61"/>
      <c r="ARF15" s="219" t="s">
        <v>135</v>
      </c>
      <c r="ARG15" s="61">
        <v>2</v>
      </c>
      <c r="ARH15" s="61">
        <v>0</v>
      </c>
      <c r="ARI15" s="61"/>
      <c r="ARJ15" s="219" t="s">
        <v>135</v>
      </c>
      <c r="ARK15" s="61">
        <v>2</v>
      </c>
      <c r="ARL15" s="61">
        <v>0</v>
      </c>
      <c r="ARM15" s="61"/>
      <c r="ARN15" s="219" t="s">
        <v>135</v>
      </c>
      <c r="ARO15" s="61">
        <v>2</v>
      </c>
      <c r="ARP15" s="61">
        <v>0</v>
      </c>
      <c r="ARQ15" s="61"/>
      <c r="ARR15" s="219" t="s">
        <v>135</v>
      </c>
      <c r="ARS15" s="61">
        <v>2</v>
      </c>
      <c r="ART15" s="61">
        <v>0</v>
      </c>
      <c r="ARU15" s="61"/>
      <c r="ARV15" s="219" t="s">
        <v>135</v>
      </c>
      <c r="ARW15" s="61">
        <v>2</v>
      </c>
      <c r="ARX15" s="61">
        <v>0</v>
      </c>
      <c r="ARY15" s="61"/>
      <c r="ARZ15" s="219" t="s">
        <v>135</v>
      </c>
      <c r="ASA15" s="61">
        <v>2</v>
      </c>
      <c r="ASB15" s="61">
        <v>0</v>
      </c>
      <c r="ASC15" s="61"/>
      <c r="ASD15" s="219" t="s">
        <v>135</v>
      </c>
      <c r="ASE15" s="61">
        <v>2</v>
      </c>
      <c r="ASF15" s="61">
        <v>0</v>
      </c>
      <c r="ASG15" s="61"/>
      <c r="ASH15" s="219" t="s">
        <v>135</v>
      </c>
      <c r="ASI15" s="61">
        <v>2</v>
      </c>
      <c r="ASJ15" s="61">
        <v>0</v>
      </c>
      <c r="ASK15" s="61"/>
      <c r="ASL15" s="219" t="s">
        <v>135</v>
      </c>
      <c r="ASM15" s="61">
        <v>2</v>
      </c>
      <c r="ASN15" s="61">
        <v>0</v>
      </c>
      <c r="ASO15" s="61"/>
      <c r="ASP15" s="219" t="s">
        <v>135</v>
      </c>
      <c r="ASQ15" s="61">
        <v>2</v>
      </c>
      <c r="ASR15" s="61">
        <v>0</v>
      </c>
      <c r="ASS15" s="61"/>
      <c r="AST15" s="219" t="s">
        <v>135</v>
      </c>
      <c r="ASU15" s="61">
        <v>2</v>
      </c>
      <c r="ASV15" s="61">
        <v>0</v>
      </c>
      <c r="ASW15" s="61"/>
      <c r="ASX15" s="219" t="s">
        <v>135</v>
      </c>
      <c r="ASY15" s="61">
        <v>2</v>
      </c>
      <c r="ASZ15" s="61">
        <v>0</v>
      </c>
      <c r="ATA15" s="61"/>
      <c r="ATB15" s="219" t="s">
        <v>135</v>
      </c>
      <c r="ATC15" s="61">
        <v>2</v>
      </c>
      <c r="ATD15" s="61">
        <v>0</v>
      </c>
      <c r="ATE15" s="61"/>
      <c r="ATF15" s="219" t="s">
        <v>135</v>
      </c>
      <c r="ATG15" s="61">
        <v>2</v>
      </c>
      <c r="ATH15" s="61">
        <v>0</v>
      </c>
      <c r="ATI15" s="61"/>
      <c r="ATJ15" s="219" t="s">
        <v>135</v>
      </c>
      <c r="ATK15" s="61">
        <v>2</v>
      </c>
      <c r="ATL15" s="61">
        <v>0</v>
      </c>
      <c r="ATM15" s="61"/>
      <c r="ATN15" s="219" t="s">
        <v>135</v>
      </c>
      <c r="ATO15" s="61">
        <v>2</v>
      </c>
      <c r="ATP15" s="61">
        <v>0</v>
      </c>
      <c r="ATQ15" s="61"/>
      <c r="ATR15" s="219" t="s">
        <v>135</v>
      </c>
      <c r="ATS15" s="61">
        <v>2</v>
      </c>
      <c r="ATT15" s="61">
        <v>0</v>
      </c>
      <c r="ATU15" s="61"/>
      <c r="ATV15" s="219" t="s">
        <v>135</v>
      </c>
      <c r="ATW15" s="61">
        <v>2</v>
      </c>
      <c r="ATX15" s="61">
        <v>0</v>
      </c>
      <c r="ATY15" s="61"/>
      <c r="ATZ15" s="219" t="s">
        <v>135</v>
      </c>
      <c r="AUA15" s="61">
        <v>2</v>
      </c>
      <c r="AUB15" s="61">
        <v>0</v>
      </c>
      <c r="AUC15" s="61"/>
      <c r="AUD15" s="219" t="s">
        <v>135</v>
      </c>
      <c r="AUE15" s="61">
        <v>2</v>
      </c>
      <c r="AUF15" s="61">
        <v>0</v>
      </c>
      <c r="AUG15" s="61"/>
      <c r="AUH15" s="219" t="s">
        <v>135</v>
      </c>
      <c r="AUI15" s="61">
        <v>2</v>
      </c>
      <c r="AUJ15" s="61">
        <v>0</v>
      </c>
      <c r="AUK15" s="61"/>
      <c r="AUL15" s="219" t="s">
        <v>135</v>
      </c>
      <c r="AUM15" s="61">
        <v>2</v>
      </c>
      <c r="AUN15" s="61">
        <v>0</v>
      </c>
      <c r="AUO15" s="61"/>
      <c r="AUP15" s="219" t="s">
        <v>135</v>
      </c>
      <c r="AUQ15" s="61">
        <v>2</v>
      </c>
      <c r="AUR15" s="61">
        <v>0</v>
      </c>
      <c r="AUS15" s="61"/>
      <c r="AUT15" s="219" t="s">
        <v>135</v>
      </c>
      <c r="AUU15" s="61">
        <v>2</v>
      </c>
      <c r="AUV15" s="61">
        <v>0</v>
      </c>
      <c r="AUW15" s="61"/>
      <c r="AUX15" s="219" t="s">
        <v>135</v>
      </c>
      <c r="AUY15" s="61">
        <v>2</v>
      </c>
      <c r="AUZ15" s="61">
        <v>0</v>
      </c>
      <c r="AVA15" s="61"/>
      <c r="AVB15" s="219" t="s">
        <v>135</v>
      </c>
      <c r="AVC15" s="61">
        <v>2</v>
      </c>
      <c r="AVD15" s="61">
        <v>0</v>
      </c>
      <c r="AVE15" s="61"/>
      <c r="AVF15" s="219" t="s">
        <v>135</v>
      </c>
      <c r="AVG15" s="61">
        <v>2</v>
      </c>
      <c r="AVH15" s="61">
        <v>0</v>
      </c>
      <c r="AVI15" s="61"/>
      <c r="AVJ15" s="219" t="s">
        <v>135</v>
      </c>
      <c r="AVK15" s="61">
        <v>2</v>
      </c>
      <c r="AVL15" s="61">
        <v>0</v>
      </c>
      <c r="AVM15" s="61"/>
      <c r="AVN15" s="219" t="s">
        <v>135</v>
      </c>
      <c r="AVO15" s="61">
        <v>2</v>
      </c>
      <c r="AVP15" s="61">
        <v>0</v>
      </c>
      <c r="AVQ15" s="61"/>
      <c r="AVR15" s="219" t="s">
        <v>135</v>
      </c>
      <c r="AVS15" s="61">
        <v>2</v>
      </c>
      <c r="AVT15" s="61">
        <v>0</v>
      </c>
      <c r="AVU15" s="61"/>
      <c r="AVV15" s="219" t="s">
        <v>135</v>
      </c>
      <c r="AVW15" s="61">
        <v>2</v>
      </c>
      <c r="AVX15" s="61">
        <v>0</v>
      </c>
      <c r="AVY15" s="61"/>
      <c r="AVZ15" s="219" t="s">
        <v>135</v>
      </c>
      <c r="AWA15" s="61">
        <v>2</v>
      </c>
      <c r="AWB15" s="61">
        <v>0</v>
      </c>
      <c r="AWC15" s="61"/>
      <c r="AWD15" s="219" t="s">
        <v>135</v>
      </c>
      <c r="AWE15" s="61">
        <v>2</v>
      </c>
      <c r="AWF15" s="61">
        <v>0</v>
      </c>
      <c r="AWG15" s="61"/>
      <c r="AWH15" s="219" t="s">
        <v>135</v>
      </c>
      <c r="AWI15" s="61">
        <v>2</v>
      </c>
      <c r="AWJ15" s="61">
        <v>0</v>
      </c>
      <c r="AWK15" s="61"/>
      <c r="AWL15" s="219" t="s">
        <v>135</v>
      </c>
      <c r="AWM15" s="61">
        <v>2</v>
      </c>
      <c r="AWN15" s="61">
        <v>0</v>
      </c>
      <c r="AWO15" s="61"/>
      <c r="AWP15" s="219" t="s">
        <v>135</v>
      </c>
      <c r="AWQ15" s="61">
        <v>2</v>
      </c>
      <c r="AWR15" s="61">
        <v>0</v>
      </c>
      <c r="AWS15" s="61"/>
      <c r="AWT15" s="219" t="s">
        <v>135</v>
      </c>
      <c r="AWU15" s="61">
        <v>2</v>
      </c>
      <c r="AWV15" s="61">
        <v>0</v>
      </c>
      <c r="AWW15" s="61"/>
      <c r="AWX15" s="219" t="s">
        <v>135</v>
      </c>
      <c r="AWY15" s="61">
        <v>2</v>
      </c>
      <c r="AWZ15" s="61">
        <v>0</v>
      </c>
      <c r="AXA15" s="61"/>
      <c r="AXB15" s="219" t="s">
        <v>135</v>
      </c>
      <c r="AXC15" s="61">
        <v>2</v>
      </c>
      <c r="AXD15" s="61">
        <v>0</v>
      </c>
      <c r="AXE15" s="61"/>
      <c r="AXF15" s="219" t="s">
        <v>135</v>
      </c>
      <c r="AXG15" s="61">
        <v>2</v>
      </c>
      <c r="AXH15" s="61">
        <v>0</v>
      </c>
      <c r="AXI15" s="61"/>
      <c r="AXJ15" s="219" t="s">
        <v>135</v>
      </c>
      <c r="AXK15" s="61">
        <v>2</v>
      </c>
      <c r="AXL15" s="61">
        <v>0</v>
      </c>
      <c r="AXM15" s="61"/>
      <c r="AXN15" s="219" t="s">
        <v>135</v>
      </c>
      <c r="AXO15" s="61">
        <v>2</v>
      </c>
      <c r="AXP15" s="61">
        <v>0</v>
      </c>
      <c r="AXQ15" s="61"/>
      <c r="AXR15" s="219" t="s">
        <v>135</v>
      </c>
      <c r="AXS15" s="61">
        <v>2</v>
      </c>
      <c r="AXT15" s="61">
        <v>0</v>
      </c>
      <c r="AXU15" s="61"/>
      <c r="AXV15" s="219" t="s">
        <v>135</v>
      </c>
      <c r="AXW15" s="61">
        <v>2</v>
      </c>
      <c r="AXX15" s="61">
        <v>0</v>
      </c>
      <c r="AXY15" s="61"/>
      <c r="AXZ15" s="219" t="s">
        <v>135</v>
      </c>
      <c r="AYA15" s="61">
        <v>2</v>
      </c>
      <c r="AYB15" s="61">
        <v>0</v>
      </c>
      <c r="AYC15" s="61"/>
      <c r="AYD15" s="219" t="s">
        <v>135</v>
      </c>
      <c r="AYE15" s="61">
        <v>2</v>
      </c>
      <c r="AYF15" s="61">
        <v>0</v>
      </c>
      <c r="AYG15" s="61"/>
      <c r="AYH15" s="219" t="s">
        <v>135</v>
      </c>
      <c r="AYI15" s="61">
        <v>2</v>
      </c>
      <c r="AYJ15" s="61">
        <v>0</v>
      </c>
      <c r="AYK15" s="61"/>
      <c r="AYL15" s="219" t="s">
        <v>135</v>
      </c>
      <c r="AYM15" s="61">
        <v>2</v>
      </c>
      <c r="AYN15" s="61">
        <v>0</v>
      </c>
      <c r="AYO15" s="61"/>
      <c r="AYP15" s="219" t="s">
        <v>135</v>
      </c>
      <c r="AYQ15" s="61">
        <v>2</v>
      </c>
      <c r="AYR15" s="61">
        <v>0</v>
      </c>
      <c r="AYS15" s="61"/>
      <c r="AYT15" s="219" t="s">
        <v>135</v>
      </c>
      <c r="AYU15" s="61">
        <v>2</v>
      </c>
      <c r="AYV15" s="61">
        <v>0</v>
      </c>
      <c r="AYW15" s="61"/>
      <c r="AYX15" s="219" t="s">
        <v>135</v>
      </c>
      <c r="AYY15" s="61">
        <v>2</v>
      </c>
      <c r="AYZ15" s="61">
        <v>0</v>
      </c>
      <c r="AZA15" s="61"/>
      <c r="AZB15" s="219" t="s">
        <v>135</v>
      </c>
      <c r="AZC15" s="61">
        <v>2</v>
      </c>
      <c r="AZD15" s="61">
        <v>0</v>
      </c>
      <c r="AZE15" s="61"/>
      <c r="AZF15" s="219" t="s">
        <v>135</v>
      </c>
      <c r="AZG15" s="61">
        <v>2</v>
      </c>
      <c r="AZH15" s="61">
        <v>0</v>
      </c>
      <c r="AZI15" s="61"/>
      <c r="AZJ15" s="219" t="s">
        <v>135</v>
      </c>
      <c r="AZK15" s="61">
        <v>2</v>
      </c>
      <c r="AZL15" s="61">
        <v>0</v>
      </c>
      <c r="AZM15" s="61"/>
      <c r="AZN15" s="219" t="s">
        <v>135</v>
      </c>
      <c r="AZO15" s="61">
        <v>2</v>
      </c>
      <c r="AZP15" s="61">
        <v>0</v>
      </c>
      <c r="AZQ15" s="61"/>
      <c r="AZR15" s="219" t="s">
        <v>135</v>
      </c>
      <c r="AZS15" s="61">
        <v>2</v>
      </c>
      <c r="AZT15" s="61">
        <v>0</v>
      </c>
      <c r="AZU15" s="61"/>
      <c r="AZV15" s="219" t="s">
        <v>135</v>
      </c>
      <c r="AZW15" s="61">
        <v>2</v>
      </c>
      <c r="AZX15" s="61">
        <v>0</v>
      </c>
      <c r="AZY15" s="61"/>
      <c r="AZZ15" s="219" t="s">
        <v>135</v>
      </c>
      <c r="BAA15" s="61">
        <v>2</v>
      </c>
      <c r="BAB15" s="61">
        <v>0</v>
      </c>
      <c r="BAC15" s="61"/>
      <c r="BAD15" s="219" t="s">
        <v>135</v>
      </c>
      <c r="BAE15" s="61">
        <v>2</v>
      </c>
      <c r="BAF15" s="61">
        <v>0</v>
      </c>
      <c r="BAG15" s="61"/>
      <c r="BAH15" s="219" t="s">
        <v>135</v>
      </c>
      <c r="BAI15" s="61">
        <v>2</v>
      </c>
      <c r="BAJ15" s="61">
        <v>0</v>
      </c>
      <c r="BAK15" s="61"/>
      <c r="BAL15" s="219" t="s">
        <v>135</v>
      </c>
      <c r="BAM15" s="61">
        <v>2</v>
      </c>
      <c r="BAN15" s="61">
        <v>0</v>
      </c>
      <c r="BAO15" s="61"/>
      <c r="BAP15" s="219" t="s">
        <v>135</v>
      </c>
      <c r="BAQ15" s="61">
        <v>2</v>
      </c>
      <c r="BAR15" s="61">
        <v>0</v>
      </c>
      <c r="BAS15" s="61"/>
      <c r="BAT15" s="219" t="s">
        <v>135</v>
      </c>
      <c r="BAU15" s="61">
        <v>2</v>
      </c>
      <c r="BAV15" s="61">
        <v>0</v>
      </c>
      <c r="BAW15" s="61"/>
      <c r="BAX15" s="219" t="s">
        <v>135</v>
      </c>
      <c r="BAY15" s="61">
        <v>2</v>
      </c>
      <c r="BAZ15" s="61">
        <v>0</v>
      </c>
      <c r="BBA15" s="61"/>
      <c r="BBB15" s="219" t="s">
        <v>135</v>
      </c>
      <c r="BBC15" s="61">
        <v>2</v>
      </c>
      <c r="BBD15" s="61">
        <v>0</v>
      </c>
      <c r="BBE15" s="61"/>
      <c r="BBF15" s="219" t="s">
        <v>135</v>
      </c>
      <c r="BBG15" s="61">
        <v>2</v>
      </c>
      <c r="BBH15" s="61">
        <v>0</v>
      </c>
      <c r="BBI15" s="61"/>
      <c r="BBJ15" s="219" t="s">
        <v>135</v>
      </c>
      <c r="BBK15" s="61">
        <v>2</v>
      </c>
      <c r="BBL15" s="61">
        <v>0</v>
      </c>
      <c r="BBM15" s="61"/>
      <c r="BBN15" s="219" t="s">
        <v>135</v>
      </c>
      <c r="BBO15" s="61">
        <v>2</v>
      </c>
      <c r="BBP15" s="61">
        <v>0</v>
      </c>
      <c r="BBQ15" s="61"/>
      <c r="BBR15" s="219" t="s">
        <v>135</v>
      </c>
      <c r="BBS15" s="61">
        <v>2</v>
      </c>
      <c r="BBT15" s="61">
        <v>0</v>
      </c>
      <c r="BBU15" s="61"/>
      <c r="BBV15" s="219" t="s">
        <v>135</v>
      </c>
      <c r="BBW15" s="61">
        <v>2</v>
      </c>
      <c r="BBX15" s="61">
        <v>0</v>
      </c>
      <c r="BBY15" s="61"/>
      <c r="BBZ15" s="219" t="s">
        <v>135</v>
      </c>
      <c r="BCA15" s="61">
        <v>2</v>
      </c>
      <c r="BCB15" s="61">
        <v>0</v>
      </c>
      <c r="BCC15" s="61"/>
      <c r="BCD15" s="219" t="s">
        <v>135</v>
      </c>
      <c r="BCE15" s="61">
        <v>2</v>
      </c>
      <c r="BCF15" s="61">
        <v>0</v>
      </c>
      <c r="BCG15" s="61"/>
      <c r="BCH15" s="219" t="s">
        <v>135</v>
      </c>
      <c r="BCI15" s="61">
        <v>2</v>
      </c>
      <c r="BCJ15" s="61">
        <v>0</v>
      </c>
      <c r="BCK15" s="61"/>
      <c r="BCL15" s="219" t="s">
        <v>135</v>
      </c>
      <c r="BCM15" s="61">
        <v>2</v>
      </c>
      <c r="BCN15" s="61">
        <v>0</v>
      </c>
      <c r="BCO15" s="61"/>
      <c r="BCP15" s="219" t="s">
        <v>135</v>
      </c>
      <c r="BCQ15" s="61">
        <v>2</v>
      </c>
      <c r="BCR15" s="61">
        <v>0</v>
      </c>
      <c r="BCS15" s="61"/>
      <c r="BCT15" s="219" t="s">
        <v>135</v>
      </c>
      <c r="BCU15" s="61">
        <v>2</v>
      </c>
      <c r="BCV15" s="61">
        <v>0</v>
      </c>
      <c r="BCW15" s="61"/>
      <c r="BCX15" s="219" t="s">
        <v>135</v>
      </c>
      <c r="BCY15" s="61">
        <v>2</v>
      </c>
      <c r="BCZ15" s="61">
        <v>0</v>
      </c>
      <c r="BDA15" s="61"/>
      <c r="BDB15" s="219" t="s">
        <v>135</v>
      </c>
      <c r="BDC15" s="61">
        <v>2</v>
      </c>
      <c r="BDD15" s="61">
        <v>0</v>
      </c>
      <c r="BDE15" s="61"/>
      <c r="BDF15" s="219" t="s">
        <v>135</v>
      </c>
      <c r="BDG15" s="61">
        <v>2</v>
      </c>
      <c r="BDH15" s="61">
        <v>0</v>
      </c>
      <c r="BDI15" s="61"/>
      <c r="BDJ15" s="219" t="s">
        <v>135</v>
      </c>
      <c r="BDK15" s="61">
        <v>2</v>
      </c>
      <c r="BDL15" s="61">
        <v>0</v>
      </c>
      <c r="BDM15" s="61"/>
      <c r="BDN15" s="219" t="s">
        <v>135</v>
      </c>
      <c r="BDO15" s="61">
        <v>2</v>
      </c>
      <c r="BDP15" s="61">
        <v>0</v>
      </c>
      <c r="BDQ15" s="61"/>
      <c r="BDR15" s="219" t="s">
        <v>135</v>
      </c>
      <c r="BDS15" s="61">
        <v>2</v>
      </c>
      <c r="BDT15" s="61">
        <v>0</v>
      </c>
      <c r="BDU15" s="61"/>
      <c r="BDV15" s="219" t="s">
        <v>135</v>
      </c>
      <c r="BDW15" s="61">
        <v>2</v>
      </c>
      <c r="BDX15" s="61">
        <v>0</v>
      </c>
      <c r="BDY15" s="61"/>
      <c r="BDZ15" s="219" t="s">
        <v>135</v>
      </c>
      <c r="BEA15" s="61">
        <v>2</v>
      </c>
      <c r="BEB15" s="61">
        <v>0</v>
      </c>
      <c r="BEC15" s="61"/>
      <c r="BED15" s="219" t="s">
        <v>135</v>
      </c>
      <c r="BEE15" s="61">
        <v>2</v>
      </c>
      <c r="BEF15" s="61">
        <v>0</v>
      </c>
      <c r="BEG15" s="61"/>
      <c r="BEH15" s="219" t="s">
        <v>135</v>
      </c>
      <c r="BEI15" s="61">
        <v>2</v>
      </c>
      <c r="BEJ15" s="61">
        <v>0</v>
      </c>
      <c r="BEK15" s="61"/>
      <c r="BEL15" s="219" t="s">
        <v>135</v>
      </c>
      <c r="BEM15" s="61">
        <v>2</v>
      </c>
      <c r="BEN15" s="61">
        <v>0</v>
      </c>
      <c r="BEO15" s="61"/>
      <c r="BEP15" s="219" t="s">
        <v>135</v>
      </c>
      <c r="BEQ15" s="61">
        <v>2</v>
      </c>
      <c r="BER15" s="61">
        <v>0</v>
      </c>
      <c r="BES15" s="61"/>
      <c r="BET15" s="219" t="s">
        <v>135</v>
      </c>
      <c r="BEU15" s="61">
        <v>2</v>
      </c>
      <c r="BEV15" s="61">
        <v>0</v>
      </c>
      <c r="BEW15" s="61"/>
      <c r="BEX15" s="219" t="s">
        <v>135</v>
      </c>
      <c r="BEY15" s="61">
        <v>2</v>
      </c>
      <c r="BEZ15" s="61">
        <v>0</v>
      </c>
      <c r="BFA15" s="61"/>
      <c r="BFB15" s="219" t="s">
        <v>135</v>
      </c>
      <c r="BFC15" s="61">
        <v>2</v>
      </c>
      <c r="BFD15" s="61">
        <v>0</v>
      </c>
      <c r="BFE15" s="61"/>
      <c r="BFF15" s="219" t="s">
        <v>135</v>
      </c>
      <c r="BFG15" s="61">
        <v>2</v>
      </c>
      <c r="BFH15" s="61">
        <v>0</v>
      </c>
      <c r="BFI15" s="61"/>
      <c r="BFJ15" s="219" t="s">
        <v>135</v>
      </c>
      <c r="BFK15" s="61">
        <v>2</v>
      </c>
      <c r="BFL15" s="61">
        <v>0</v>
      </c>
      <c r="BFM15" s="61"/>
      <c r="BFN15" s="219" t="s">
        <v>135</v>
      </c>
      <c r="BFO15" s="61">
        <v>2</v>
      </c>
      <c r="BFP15" s="61">
        <v>0</v>
      </c>
      <c r="BFQ15" s="61"/>
      <c r="BFR15" s="219" t="s">
        <v>135</v>
      </c>
      <c r="BFS15" s="61">
        <v>2</v>
      </c>
      <c r="BFT15" s="61">
        <v>0</v>
      </c>
      <c r="BFU15" s="61"/>
      <c r="BFV15" s="219" t="s">
        <v>135</v>
      </c>
      <c r="BFW15" s="61">
        <v>2</v>
      </c>
      <c r="BFX15" s="61">
        <v>0</v>
      </c>
      <c r="BFY15" s="61"/>
      <c r="BFZ15" s="219" t="s">
        <v>135</v>
      </c>
      <c r="BGA15" s="61">
        <v>2</v>
      </c>
      <c r="BGB15" s="61">
        <v>0</v>
      </c>
      <c r="BGC15" s="61"/>
      <c r="BGD15" s="219" t="s">
        <v>135</v>
      </c>
      <c r="BGE15" s="61">
        <v>2</v>
      </c>
      <c r="BGF15" s="61">
        <v>0</v>
      </c>
      <c r="BGG15" s="61"/>
      <c r="BGH15" s="219" t="s">
        <v>135</v>
      </c>
      <c r="BGI15" s="61">
        <v>2</v>
      </c>
      <c r="BGJ15" s="61">
        <v>0</v>
      </c>
      <c r="BGK15" s="61"/>
      <c r="BGL15" s="219" t="s">
        <v>135</v>
      </c>
      <c r="BGM15" s="61">
        <v>2</v>
      </c>
      <c r="BGN15" s="61">
        <v>0</v>
      </c>
      <c r="BGO15" s="61"/>
      <c r="BGP15" s="219" t="s">
        <v>135</v>
      </c>
      <c r="BGQ15" s="61">
        <v>2</v>
      </c>
      <c r="BGR15" s="61">
        <v>0</v>
      </c>
      <c r="BGS15" s="61"/>
      <c r="BGT15" s="219" t="s">
        <v>135</v>
      </c>
      <c r="BGU15" s="61">
        <v>2</v>
      </c>
      <c r="BGV15" s="61">
        <v>0</v>
      </c>
      <c r="BGW15" s="61"/>
      <c r="BGX15" s="219" t="s">
        <v>135</v>
      </c>
      <c r="BGY15" s="61">
        <v>2</v>
      </c>
      <c r="BGZ15" s="61">
        <v>0</v>
      </c>
      <c r="BHA15" s="61"/>
      <c r="BHB15" s="219" t="s">
        <v>135</v>
      </c>
      <c r="BHC15" s="61">
        <v>2</v>
      </c>
      <c r="BHD15" s="61">
        <v>0</v>
      </c>
      <c r="BHE15" s="61"/>
      <c r="BHF15" s="219" t="s">
        <v>135</v>
      </c>
      <c r="BHG15" s="61">
        <v>2</v>
      </c>
      <c r="BHH15" s="61">
        <v>0</v>
      </c>
      <c r="BHI15" s="61"/>
      <c r="BHJ15" s="219" t="s">
        <v>135</v>
      </c>
      <c r="BHK15" s="61">
        <v>2</v>
      </c>
      <c r="BHL15" s="61">
        <v>0</v>
      </c>
      <c r="BHM15" s="61"/>
      <c r="BHN15" s="219" t="s">
        <v>135</v>
      </c>
      <c r="BHO15" s="61">
        <v>2</v>
      </c>
      <c r="BHP15" s="61">
        <v>0</v>
      </c>
      <c r="BHQ15" s="61"/>
      <c r="BHR15" s="219" t="s">
        <v>135</v>
      </c>
      <c r="BHS15" s="61">
        <v>2</v>
      </c>
      <c r="BHT15" s="61">
        <v>0</v>
      </c>
      <c r="BHU15" s="61"/>
      <c r="BHV15" s="219" t="s">
        <v>135</v>
      </c>
      <c r="BHW15" s="61">
        <v>2</v>
      </c>
      <c r="BHX15" s="61">
        <v>0</v>
      </c>
      <c r="BHY15" s="61"/>
      <c r="BHZ15" s="219" t="s">
        <v>135</v>
      </c>
      <c r="BIA15" s="61">
        <v>2</v>
      </c>
      <c r="BIB15" s="61">
        <v>0</v>
      </c>
      <c r="BIC15" s="61"/>
      <c r="BID15" s="219" t="s">
        <v>135</v>
      </c>
      <c r="BIE15" s="61">
        <v>2</v>
      </c>
      <c r="BIF15" s="61">
        <v>0</v>
      </c>
      <c r="BIG15" s="61"/>
      <c r="BIH15" s="219" t="s">
        <v>135</v>
      </c>
      <c r="BII15" s="61">
        <v>2</v>
      </c>
      <c r="BIJ15" s="61">
        <v>0</v>
      </c>
      <c r="BIK15" s="61"/>
      <c r="BIL15" s="219" t="s">
        <v>135</v>
      </c>
      <c r="BIM15" s="61">
        <v>2</v>
      </c>
      <c r="BIN15" s="61">
        <v>0</v>
      </c>
      <c r="BIO15" s="61"/>
      <c r="BIP15" s="219" t="s">
        <v>135</v>
      </c>
      <c r="BIQ15" s="61">
        <v>2</v>
      </c>
      <c r="BIR15" s="61">
        <v>0</v>
      </c>
      <c r="BIS15" s="61"/>
      <c r="BIT15" s="219" t="s">
        <v>135</v>
      </c>
      <c r="BIU15" s="61">
        <v>2</v>
      </c>
      <c r="BIV15" s="61">
        <v>0</v>
      </c>
      <c r="BIW15" s="61"/>
      <c r="BIX15" s="219" t="s">
        <v>135</v>
      </c>
      <c r="BIY15" s="61">
        <v>2</v>
      </c>
      <c r="BIZ15" s="61">
        <v>0</v>
      </c>
      <c r="BJA15" s="61"/>
      <c r="BJB15" s="219" t="s">
        <v>135</v>
      </c>
      <c r="BJC15" s="61">
        <v>2</v>
      </c>
      <c r="BJD15" s="61">
        <v>0</v>
      </c>
      <c r="BJE15" s="61"/>
      <c r="BJF15" s="219" t="s">
        <v>135</v>
      </c>
      <c r="BJG15" s="61">
        <v>2</v>
      </c>
      <c r="BJH15" s="61">
        <v>0</v>
      </c>
      <c r="BJI15" s="61"/>
      <c r="BJJ15" s="219" t="s">
        <v>135</v>
      </c>
      <c r="BJK15" s="61">
        <v>2</v>
      </c>
      <c r="BJL15" s="61">
        <v>0</v>
      </c>
      <c r="BJM15" s="61"/>
      <c r="BJN15" s="219" t="s">
        <v>135</v>
      </c>
      <c r="BJO15" s="61">
        <v>2</v>
      </c>
      <c r="BJP15" s="61">
        <v>0</v>
      </c>
      <c r="BJQ15" s="61"/>
      <c r="BJR15" s="219" t="s">
        <v>135</v>
      </c>
      <c r="BJS15" s="61">
        <v>2</v>
      </c>
      <c r="BJT15" s="61">
        <v>0</v>
      </c>
      <c r="BJU15" s="61"/>
      <c r="BJV15" s="219" t="s">
        <v>135</v>
      </c>
      <c r="BJW15" s="61">
        <v>2</v>
      </c>
      <c r="BJX15" s="61">
        <v>0</v>
      </c>
      <c r="BJY15" s="61"/>
      <c r="BJZ15" s="219" t="s">
        <v>135</v>
      </c>
      <c r="BKA15" s="61">
        <v>2</v>
      </c>
      <c r="BKB15" s="61">
        <v>0</v>
      </c>
      <c r="BKC15" s="61"/>
      <c r="BKD15" s="219" t="s">
        <v>135</v>
      </c>
      <c r="BKE15" s="61">
        <v>2</v>
      </c>
      <c r="BKF15" s="61">
        <v>0</v>
      </c>
      <c r="BKG15" s="61"/>
      <c r="BKH15" s="219" t="s">
        <v>135</v>
      </c>
      <c r="BKI15" s="61">
        <v>2</v>
      </c>
      <c r="BKJ15" s="61">
        <v>0</v>
      </c>
      <c r="BKK15" s="61"/>
      <c r="BKL15" s="219" t="s">
        <v>135</v>
      </c>
      <c r="BKM15" s="61">
        <v>2</v>
      </c>
      <c r="BKN15" s="61">
        <v>0</v>
      </c>
      <c r="BKO15" s="61"/>
      <c r="BKP15" s="219" t="s">
        <v>135</v>
      </c>
      <c r="BKQ15" s="61">
        <v>2</v>
      </c>
      <c r="BKR15" s="61">
        <v>0</v>
      </c>
      <c r="BKS15" s="61"/>
      <c r="BKT15" s="219" t="s">
        <v>135</v>
      </c>
      <c r="BKU15" s="61">
        <v>2</v>
      </c>
      <c r="BKV15" s="61">
        <v>0</v>
      </c>
      <c r="BKW15" s="61"/>
      <c r="BKX15" s="219" t="s">
        <v>135</v>
      </c>
      <c r="BKY15" s="61">
        <v>2</v>
      </c>
      <c r="BKZ15" s="61">
        <v>0</v>
      </c>
      <c r="BLA15" s="61"/>
      <c r="BLB15" s="219" t="s">
        <v>135</v>
      </c>
      <c r="BLC15" s="61">
        <v>2</v>
      </c>
      <c r="BLD15" s="61">
        <v>0</v>
      </c>
      <c r="BLE15" s="61"/>
      <c r="BLF15" s="219" t="s">
        <v>135</v>
      </c>
      <c r="BLG15" s="61">
        <v>2</v>
      </c>
      <c r="BLH15" s="61">
        <v>0</v>
      </c>
      <c r="BLI15" s="61"/>
      <c r="BLJ15" s="219" t="s">
        <v>135</v>
      </c>
      <c r="BLK15" s="61">
        <v>2</v>
      </c>
      <c r="BLL15" s="61">
        <v>0</v>
      </c>
      <c r="BLM15" s="61"/>
      <c r="BLN15" s="219" t="s">
        <v>135</v>
      </c>
      <c r="BLO15" s="61">
        <v>2</v>
      </c>
      <c r="BLP15" s="61">
        <v>0</v>
      </c>
      <c r="BLQ15" s="61"/>
      <c r="BLR15" s="219" t="s">
        <v>135</v>
      </c>
      <c r="BLS15" s="61">
        <v>2</v>
      </c>
      <c r="BLT15" s="61">
        <v>0</v>
      </c>
      <c r="BLU15" s="61"/>
      <c r="BLV15" s="219" t="s">
        <v>135</v>
      </c>
      <c r="BLW15" s="61">
        <v>2</v>
      </c>
      <c r="BLX15" s="61">
        <v>0</v>
      </c>
      <c r="BLY15" s="61"/>
      <c r="BLZ15" s="219" t="s">
        <v>135</v>
      </c>
      <c r="BMA15" s="61">
        <v>2</v>
      </c>
      <c r="BMB15" s="61">
        <v>0</v>
      </c>
      <c r="BMC15" s="61"/>
      <c r="BMD15" s="219" t="s">
        <v>135</v>
      </c>
      <c r="BME15" s="61">
        <v>2</v>
      </c>
      <c r="BMF15" s="61">
        <v>0</v>
      </c>
      <c r="BMG15" s="61"/>
      <c r="BMH15" s="219" t="s">
        <v>135</v>
      </c>
      <c r="BMI15" s="61">
        <v>2</v>
      </c>
      <c r="BMJ15" s="61">
        <v>0</v>
      </c>
      <c r="BMK15" s="61"/>
      <c r="BML15" s="219" t="s">
        <v>135</v>
      </c>
      <c r="BMM15" s="61">
        <v>2</v>
      </c>
      <c r="BMN15" s="61">
        <v>0</v>
      </c>
      <c r="BMO15" s="61"/>
      <c r="BMP15" s="219" t="s">
        <v>135</v>
      </c>
      <c r="BMQ15" s="61">
        <v>2</v>
      </c>
      <c r="BMR15" s="61">
        <v>0</v>
      </c>
      <c r="BMS15" s="61"/>
      <c r="BMT15" s="219" t="s">
        <v>135</v>
      </c>
      <c r="BMU15" s="61">
        <v>2</v>
      </c>
      <c r="BMV15" s="61">
        <v>0</v>
      </c>
      <c r="BMW15" s="61"/>
      <c r="BMX15" s="219" t="s">
        <v>135</v>
      </c>
      <c r="BMY15" s="61">
        <v>2</v>
      </c>
      <c r="BMZ15" s="61">
        <v>0</v>
      </c>
      <c r="BNA15" s="61"/>
      <c r="BNB15" s="219" t="s">
        <v>135</v>
      </c>
      <c r="BNC15" s="61">
        <v>2</v>
      </c>
      <c r="BND15" s="61">
        <v>0</v>
      </c>
      <c r="BNE15" s="61"/>
      <c r="BNF15" s="219" t="s">
        <v>135</v>
      </c>
      <c r="BNG15" s="61">
        <v>2</v>
      </c>
      <c r="BNH15" s="61">
        <v>0</v>
      </c>
      <c r="BNI15" s="61"/>
      <c r="BNJ15" s="219" t="s">
        <v>135</v>
      </c>
      <c r="BNK15" s="61">
        <v>2</v>
      </c>
      <c r="BNL15" s="61">
        <v>0</v>
      </c>
      <c r="BNM15" s="61"/>
      <c r="BNN15" s="219" t="s">
        <v>135</v>
      </c>
      <c r="BNO15" s="61">
        <v>2</v>
      </c>
      <c r="BNP15" s="61">
        <v>0</v>
      </c>
      <c r="BNQ15" s="61"/>
      <c r="BNR15" s="219" t="s">
        <v>135</v>
      </c>
      <c r="BNS15" s="61">
        <v>2</v>
      </c>
      <c r="BNT15" s="61">
        <v>0</v>
      </c>
      <c r="BNU15" s="61"/>
      <c r="BNV15" s="219" t="s">
        <v>135</v>
      </c>
      <c r="BNW15" s="61">
        <v>2</v>
      </c>
      <c r="BNX15" s="61">
        <v>0</v>
      </c>
      <c r="BNY15" s="61"/>
      <c r="BNZ15" s="219" t="s">
        <v>135</v>
      </c>
      <c r="BOA15" s="61">
        <v>2</v>
      </c>
      <c r="BOB15" s="61">
        <v>0</v>
      </c>
      <c r="BOC15" s="61"/>
      <c r="BOD15" s="219" t="s">
        <v>135</v>
      </c>
      <c r="BOE15" s="61">
        <v>2</v>
      </c>
      <c r="BOF15" s="61">
        <v>0</v>
      </c>
      <c r="BOG15" s="61"/>
      <c r="BOH15" s="219" t="s">
        <v>135</v>
      </c>
      <c r="BOI15" s="61">
        <v>2</v>
      </c>
      <c r="BOJ15" s="61">
        <v>0</v>
      </c>
      <c r="BOK15" s="61"/>
      <c r="BOL15" s="219" t="s">
        <v>135</v>
      </c>
      <c r="BOM15" s="61">
        <v>2</v>
      </c>
      <c r="BON15" s="61">
        <v>0</v>
      </c>
      <c r="BOO15" s="61"/>
      <c r="BOP15" s="219" t="s">
        <v>135</v>
      </c>
      <c r="BOQ15" s="61">
        <v>2</v>
      </c>
      <c r="BOR15" s="61">
        <v>0</v>
      </c>
      <c r="BOS15" s="61"/>
      <c r="BOT15" s="219" t="s">
        <v>135</v>
      </c>
      <c r="BOU15" s="61">
        <v>2</v>
      </c>
      <c r="BOV15" s="61">
        <v>0</v>
      </c>
      <c r="BOW15" s="61"/>
      <c r="BOX15" s="219" t="s">
        <v>135</v>
      </c>
      <c r="BOY15" s="61">
        <v>2</v>
      </c>
      <c r="BOZ15" s="61">
        <v>0</v>
      </c>
      <c r="BPA15" s="61"/>
      <c r="BPB15" s="219" t="s">
        <v>135</v>
      </c>
      <c r="BPC15" s="61">
        <v>2</v>
      </c>
      <c r="BPD15" s="61">
        <v>0</v>
      </c>
      <c r="BPE15" s="61"/>
      <c r="BPF15" s="219" t="s">
        <v>135</v>
      </c>
      <c r="BPG15" s="61">
        <v>2</v>
      </c>
      <c r="BPH15" s="61">
        <v>0</v>
      </c>
      <c r="BPI15" s="61"/>
      <c r="BPJ15" s="219" t="s">
        <v>135</v>
      </c>
      <c r="BPK15" s="61">
        <v>2</v>
      </c>
      <c r="BPL15" s="61">
        <v>0</v>
      </c>
      <c r="BPM15" s="61"/>
      <c r="BPN15" s="219" t="s">
        <v>135</v>
      </c>
      <c r="BPO15" s="61">
        <v>2</v>
      </c>
      <c r="BPP15" s="61">
        <v>0</v>
      </c>
      <c r="BPQ15" s="61"/>
      <c r="BPR15" s="219" t="s">
        <v>135</v>
      </c>
      <c r="BPS15" s="61">
        <v>2</v>
      </c>
      <c r="BPT15" s="61">
        <v>0</v>
      </c>
      <c r="BPU15" s="61"/>
      <c r="BPV15" s="219" t="s">
        <v>135</v>
      </c>
      <c r="BPW15" s="61">
        <v>2</v>
      </c>
      <c r="BPX15" s="61">
        <v>0</v>
      </c>
      <c r="BPY15" s="61"/>
      <c r="BPZ15" s="219" t="s">
        <v>135</v>
      </c>
      <c r="BQA15" s="61">
        <v>2</v>
      </c>
      <c r="BQB15" s="61">
        <v>0</v>
      </c>
      <c r="BQC15" s="61"/>
      <c r="BQD15" s="219" t="s">
        <v>135</v>
      </c>
      <c r="BQE15" s="61">
        <v>2</v>
      </c>
      <c r="BQF15" s="61">
        <v>0</v>
      </c>
      <c r="BQG15" s="61"/>
      <c r="BQH15" s="219" t="s">
        <v>135</v>
      </c>
      <c r="BQI15" s="61">
        <v>2</v>
      </c>
      <c r="BQJ15" s="61">
        <v>0</v>
      </c>
      <c r="BQK15" s="61"/>
      <c r="BQL15" s="219" t="s">
        <v>135</v>
      </c>
      <c r="BQM15" s="61">
        <v>2</v>
      </c>
      <c r="BQN15" s="61">
        <v>0</v>
      </c>
      <c r="BQO15" s="61"/>
      <c r="BQP15" s="219" t="s">
        <v>135</v>
      </c>
      <c r="BQQ15" s="61">
        <v>2</v>
      </c>
      <c r="BQR15" s="61">
        <v>0</v>
      </c>
      <c r="BQS15" s="61"/>
      <c r="BQT15" s="219" t="s">
        <v>135</v>
      </c>
      <c r="BQU15" s="61">
        <v>2</v>
      </c>
      <c r="BQV15" s="61">
        <v>0</v>
      </c>
      <c r="BQW15" s="61"/>
      <c r="BQX15" s="219" t="s">
        <v>135</v>
      </c>
      <c r="BQY15" s="61">
        <v>2</v>
      </c>
      <c r="BQZ15" s="61">
        <v>0</v>
      </c>
      <c r="BRA15" s="61"/>
      <c r="BRB15" s="219" t="s">
        <v>135</v>
      </c>
      <c r="BRC15" s="61">
        <v>2</v>
      </c>
      <c r="BRD15" s="61">
        <v>0</v>
      </c>
      <c r="BRE15" s="61"/>
      <c r="BRF15" s="219" t="s">
        <v>135</v>
      </c>
      <c r="BRG15" s="61">
        <v>2</v>
      </c>
      <c r="BRH15" s="61">
        <v>0</v>
      </c>
      <c r="BRI15" s="61"/>
      <c r="BRJ15" s="219" t="s">
        <v>135</v>
      </c>
      <c r="BRK15" s="61">
        <v>2</v>
      </c>
      <c r="BRL15" s="61">
        <v>0</v>
      </c>
      <c r="BRM15" s="61"/>
      <c r="BRN15" s="219" t="s">
        <v>135</v>
      </c>
      <c r="BRO15" s="61">
        <v>2</v>
      </c>
      <c r="BRP15" s="61">
        <v>0</v>
      </c>
      <c r="BRQ15" s="61"/>
      <c r="BRR15" s="219" t="s">
        <v>135</v>
      </c>
      <c r="BRS15" s="61">
        <v>2</v>
      </c>
      <c r="BRT15" s="61">
        <v>0</v>
      </c>
      <c r="BRU15" s="61"/>
      <c r="BRV15" s="219" t="s">
        <v>135</v>
      </c>
      <c r="BRW15" s="61">
        <v>2</v>
      </c>
      <c r="BRX15" s="61">
        <v>0</v>
      </c>
      <c r="BRY15" s="61"/>
      <c r="BRZ15" s="219" t="s">
        <v>135</v>
      </c>
      <c r="BSA15" s="61">
        <v>2</v>
      </c>
      <c r="BSB15" s="61">
        <v>0</v>
      </c>
      <c r="BSC15" s="61"/>
      <c r="BSD15" s="219" t="s">
        <v>135</v>
      </c>
      <c r="BSE15" s="61">
        <v>2</v>
      </c>
      <c r="BSF15" s="61">
        <v>0</v>
      </c>
      <c r="BSG15" s="61"/>
      <c r="BSH15" s="219" t="s">
        <v>135</v>
      </c>
      <c r="BSI15" s="61">
        <v>2</v>
      </c>
      <c r="BSJ15" s="61">
        <v>0</v>
      </c>
      <c r="BSK15" s="61"/>
      <c r="BSL15" s="219" t="s">
        <v>135</v>
      </c>
      <c r="BSM15" s="61">
        <v>2</v>
      </c>
      <c r="BSN15" s="61">
        <v>0</v>
      </c>
      <c r="BSO15" s="61"/>
      <c r="BSP15" s="219" t="s">
        <v>135</v>
      </c>
      <c r="BSQ15" s="61">
        <v>2</v>
      </c>
      <c r="BSR15" s="61">
        <v>0</v>
      </c>
      <c r="BSS15" s="61"/>
      <c r="BST15" s="219" t="s">
        <v>135</v>
      </c>
      <c r="BSU15" s="61">
        <v>2</v>
      </c>
      <c r="BSV15" s="61">
        <v>0</v>
      </c>
      <c r="BSW15" s="61"/>
      <c r="BSX15" s="219" t="s">
        <v>135</v>
      </c>
      <c r="BSY15" s="61">
        <v>2</v>
      </c>
      <c r="BSZ15" s="61">
        <v>0</v>
      </c>
      <c r="BTA15" s="61"/>
      <c r="BTB15" s="219" t="s">
        <v>135</v>
      </c>
      <c r="BTC15" s="61">
        <v>2</v>
      </c>
      <c r="BTD15" s="61">
        <v>0</v>
      </c>
      <c r="BTE15" s="61"/>
      <c r="BTF15" s="219" t="s">
        <v>135</v>
      </c>
      <c r="BTG15" s="61">
        <v>2</v>
      </c>
      <c r="BTH15" s="61">
        <v>0</v>
      </c>
      <c r="BTI15" s="61"/>
      <c r="BTJ15" s="219" t="s">
        <v>135</v>
      </c>
      <c r="BTK15" s="61">
        <v>2</v>
      </c>
      <c r="BTL15" s="61">
        <v>0</v>
      </c>
      <c r="BTM15" s="61"/>
      <c r="BTN15" s="219" t="s">
        <v>135</v>
      </c>
      <c r="BTO15" s="61">
        <v>2</v>
      </c>
      <c r="BTP15" s="61">
        <v>0</v>
      </c>
      <c r="BTQ15" s="61"/>
      <c r="BTR15" s="219" t="s">
        <v>135</v>
      </c>
      <c r="BTS15" s="61">
        <v>2</v>
      </c>
      <c r="BTT15" s="61">
        <v>0</v>
      </c>
      <c r="BTU15" s="61"/>
      <c r="BTV15" s="219" t="s">
        <v>135</v>
      </c>
      <c r="BTW15" s="61">
        <v>2</v>
      </c>
      <c r="BTX15" s="61">
        <v>0</v>
      </c>
      <c r="BTY15" s="61"/>
      <c r="BTZ15" s="219" t="s">
        <v>135</v>
      </c>
      <c r="BUA15" s="61">
        <v>2</v>
      </c>
      <c r="BUB15" s="61">
        <v>0</v>
      </c>
      <c r="BUC15" s="61"/>
      <c r="BUD15" s="219" t="s">
        <v>135</v>
      </c>
      <c r="BUE15" s="61">
        <v>2</v>
      </c>
      <c r="BUF15" s="61">
        <v>0</v>
      </c>
      <c r="BUG15" s="61"/>
      <c r="BUH15" s="219" t="s">
        <v>135</v>
      </c>
      <c r="BUI15" s="61">
        <v>2</v>
      </c>
      <c r="BUJ15" s="61">
        <v>0</v>
      </c>
      <c r="BUK15" s="61"/>
      <c r="BUL15" s="219" t="s">
        <v>135</v>
      </c>
      <c r="BUM15" s="61">
        <v>2</v>
      </c>
      <c r="BUN15" s="61">
        <v>0</v>
      </c>
      <c r="BUO15" s="61"/>
      <c r="BUP15" s="219" t="s">
        <v>135</v>
      </c>
      <c r="BUQ15" s="61">
        <v>2</v>
      </c>
      <c r="BUR15" s="61">
        <v>0</v>
      </c>
      <c r="BUS15" s="61"/>
      <c r="BUT15" s="219" t="s">
        <v>135</v>
      </c>
      <c r="BUU15" s="61">
        <v>2</v>
      </c>
      <c r="BUV15" s="61">
        <v>0</v>
      </c>
      <c r="BUW15" s="61"/>
      <c r="BUX15" s="219" t="s">
        <v>135</v>
      </c>
      <c r="BUY15" s="61">
        <v>2</v>
      </c>
      <c r="BUZ15" s="61">
        <v>0</v>
      </c>
      <c r="BVA15" s="61"/>
      <c r="BVB15" s="219" t="s">
        <v>135</v>
      </c>
      <c r="BVC15" s="61">
        <v>2</v>
      </c>
      <c r="BVD15" s="61">
        <v>0</v>
      </c>
      <c r="BVE15" s="61"/>
      <c r="BVF15" s="219" t="s">
        <v>135</v>
      </c>
      <c r="BVG15" s="61">
        <v>2</v>
      </c>
      <c r="BVH15" s="61">
        <v>0</v>
      </c>
      <c r="BVI15" s="61"/>
      <c r="BVJ15" s="219" t="s">
        <v>135</v>
      </c>
      <c r="BVK15" s="61">
        <v>2</v>
      </c>
      <c r="BVL15" s="61">
        <v>0</v>
      </c>
      <c r="BVM15" s="61"/>
      <c r="BVN15" s="219" t="s">
        <v>135</v>
      </c>
      <c r="BVO15" s="61">
        <v>2</v>
      </c>
      <c r="BVP15" s="61">
        <v>0</v>
      </c>
      <c r="BVQ15" s="61"/>
      <c r="BVR15" s="219" t="s">
        <v>135</v>
      </c>
      <c r="BVS15" s="61">
        <v>2</v>
      </c>
      <c r="BVT15" s="61">
        <v>0</v>
      </c>
      <c r="BVU15" s="61"/>
      <c r="BVV15" s="219" t="s">
        <v>135</v>
      </c>
      <c r="BVW15" s="61">
        <v>2</v>
      </c>
      <c r="BVX15" s="61">
        <v>0</v>
      </c>
      <c r="BVY15" s="61"/>
      <c r="BVZ15" s="219" t="s">
        <v>135</v>
      </c>
      <c r="BWA15" s="61">
        <v>2</v>
      </c>
      <c r="BWB15" s="61">
        <v>0</v>
      </c>
      <c r="BWC15" s="61"/>
      <c r="BWD15" s="219" t="s">
        <v>135</v>
      </c>
      <c r="BWE15" s="61">
        <v>2</v>
      </c>
      <c r="BWF15" s="61">
        <v>0</v>
      </c>
      <c r="BWG15" s="61"/>
      <c r="BWH15" s="219" t="s">
        <v>135</v>
      </c>
      <c r="BWI15" s="61">
        <v>2</v>
      </c>
      <c r="BWJ15" s="61">
        <v>0</v>
      </c>
      <c r="BWK15" s="61"/>
      <c r="BWL15" s="219" t="s">
        <v>135</v>
      </c>
      <c r="BWM15" s="61">
        <v>2</v>
      </c>
      <c r="BWN15" s="61">
        <v>0</v>
      </c>
      <c r="BWO15" s="61"/>
      <c r="BWP15" s="219" t="s">
        <v>135</v>
      </c>
      <c r="BWQ15" s="61">
        <v>2</v>
      </c>
      <c r="BWR15" s="61"/>
      <c r="BWS15" s="61"/>
      <c r="BWT15" s="219"/>
      <c r="BWU15" s="61"/>
      <c r="BWV15" s="61"/>
      <c r="BWW15" s="61"/>
      <c r="BWX15" s="219"/>
      <c r="BWY15" s="61"/>
      <c r="BWZ15" s="61"/>
      <c r="BXA15" s="61"/>
      <c r="BXB15" s="219"/>
      <c r="BXC15" s="61"/>
      <c r="BXD15" s="61"/>
      <c r="BXE15" s="61"/>
      <c r="BXF15" s="219"/>
      <c r="BXG15" s="61"/>
      <c r="BXH15" s="61"/>
      <c r="BXI15" s="61"/>
      <c r="BXJ15" s="219"/>
      <c r="BXK15" s="61"/>
      <c r="BXL15" s="61"/>
      <c r="BXM15" s="61"/>
      <c r="BXN15" s="219"/>
      <c r="BXO15" s="61"/>
      <c r="BXP15" s="61"/>
      <c r="BXQ15" s="61"/>
      <c r="BXR15" s="219"/>
      <c r="BXS15" s="61"/>
      <c r="BXT15" s="61"/>
      <c r="BXU15" s="61"/>
      <c r="BXV15" s="219"/>
      <c r="BXW15" s="61"/>
      <c r="BXX15" s="61"/>
      <c r="BXY15" s="61"/>
      <c r="BXZ15" s="219"/>
      <c r="BYA15" s="61"/>
      <c r="BYB15" s="61"/>
      <c r="BYC15" s="61"/>
      <c r="BYD15" s="219"/>
      <c r="BYE15" s="61"/>
      <c r="BYF15" s="61"/>
      <c r="BYG15" s="61"/>
      <c r="BYH15" s="219"/>
      <c r="BYI15" s="61"/>
      <c r="BYJ15" s="61"/>
      <c r="BYK15" s="61"/>
      <c r="BYL15" s="219"/>
      <c r="BYM15" s="61"/>
      <c r="BYN15" s="61"/>
      <c r="BYO15" s="61"/>
      <c r="BYP15" s="219"/>
      <c r="BYQ15" s="61"/>
      <c r="BYR15" s="61"/>
      <c r="BYS15" s="61"/>
      <c r="BYT15" s="219"/>
      <c r="BYU15" s="61"/>
      <c r="BYV15" s="61"/>
      <c r="BYW15" s="61"/>
      <c r="BYX15" s="219"/>
      <c r="BYY15" s="61"/>
      <c r="BYZ15" s="61"/>
      <c r="BZA15" s="61"/>
      <c r="BZB15" s="219"/>
      <c r="BZC15" s="61"/>
      <c r="BZD15" s="61"/>
      <c r="BZE15" s="61"/>
      <c r="BZF15" s="219"/>
      <c r="BZG15" s="61"/>
      <c r="BZH15" s="61"/>
      <c r="BZI15" s="61"/>
      <c r="BZJ15" s="219"/>
      <c r="BZK15" s="61"/>
      <c r="BZL15" s="61"/>
      <c r="BZM15" s="61"/>
      <c r="BZN15" s="219"/>
      <c r="BZO15" s="61"/>
      <c r="BZP15" s="61"/>
      <c r="BZQ15" s="61"/>
      <c r="BZR15" s="219"/>
      <c r="BZS15" s="61"/>
      <c r="BZT15" s="61"/>
      <c r="BZU15" s="61"/>
      <c r="BZV15" s="219"/>
      <c r="BZW15" s="61"/>
      <c r="BZX15" s="61"/>
      <c r="BZY15" s="61"/>
      <c r="BZZ15" s="219"/>
      <c r="CAA15" s="61"/>
      <c r="CAB15" s="61"/>
      <c r="CAC15" s="61"/>
      <c r="CAD15" s="219"/>
      <c r="CAE15" s="61"/>
      <c r="CAF15" s="61"/>
      <c r="CAG15" s="61"/>
      <c r="CAH15" s="219"/>
      <c r="CAI15" s="61"/>
      <c r="CAJ15" s="61"/>
      <c r="CAK15" s="61"/>
      <c r="CAL15" s="219"/>
      <c r="CAM15" s="61"/>
      <c r="CAN15" s="61"/>
      <c r="CAO15" s="61"/>
      <c r="CAP15" s="219"/>
      <c r="CAQ15" s="61"/>
      <c r="CAR15" s="61"/>
      <c r="CAS15" s="61"/>
      <c r="CAT15" s="219"/>
      <c r="CAU15" s="61"/>
      <c r="CAV15" s="61"/>
      <c r="CAW15" s="61"/>
      <c r="CAX15" s="219"/>
      <c r="CAY15" s="61"/>
      <c r="CAZ15" s="61"/>
      <c r="CBA15" s="61"/>
      <c r="CBB15" s="219"/>
      <c r="CBC15" s="61"/>
      <c r="CBD15" s="61"/>
      <c r="CBE15" s="61"/>
      <c r="CBF15" s="219"/>
      <c r="CBG15" s="61"/>
      <c r="CBH15" s="61"/>
      <c r="CBI15" s="61"/>
      <c r="CBJ15" s="219"/>
      <c r="CBK15" s="61"/>
      <c r="CBL15" s="61"/>
      <c r="CBM15" s="61"/>
      <c r="CBN15" s="219"/>
      <c r="CBO15" s="61"/>
      <c r="CBP15" s="61"/>
      <c r="CBQ15" s="61"/>
      <c r="CBR15" s="219"/>
      <c r="CBS15" s="61"/>
      <c r="CBT15" s="61"/>
      <c r="CBU15" s="61"/>
      <c r="CBV15" s="219"/>
      <c r="CBW15" s="61"/>
      <c r="CBX15" s="61"/>
      <c r="CBY15" s="61"/>
      <c r="CBZ15" s="219"/>
      <c r="CCA15" s="61"/>
      <c r="CCB15" s="61"/>
      <c r="CCC15" s="61"/>
      <c r="CCD15" s="219"/>
      <c r="CCE15" s="61"/>
      <c r="CCF15" s="61"/>
      <c r="CCG15" s="61"/>
      <c r="CCH15" s="219"/>
      <c r="CCI15" s="61"/>
      <c r="CCJ15" s="61"/>
      <c r="CCK15" s="61"/>
      <c r="CCL15" s="219"/>
      <c r="CCM15" s="61"/>
      <c r="CCN15" s="61"/>
      <c r="CCO15" s="61"/>
      <c r="CCP15" s="219"/>
      <c r="CCQ15" s="61"/>
      <c r="CCR15" s="61"/>
      <c r="CCS15" s="61"/>
      <c r="CCT15" s="219"/>
      <c r="CCU15" s="61"/>
      <c r="CCV15" s="61"/>
      <c r="CCW15" s="61"/>
      <c r="CCX15" s="219"/>
      <c r="CCY15" s="61"/>
      <c r="CCZ15" s="61"/>
      <c r="CDA15" s="61"/>
      <c r="CDB15" s="219"/>
      <c r="CDC15" s="61"/>
      <c r="CDD15" s="61"/>
      <c r="CDE15" s="61"/>
      <c r="CDF15" s="219"/>
      <c r="CDG15" s="61"/>
      <c r="CDH15" s="61"/>
      <c r="CDI15" s="61"/>
      <c r="CDJ15" s="219"/>
      <c r="CDK15" s="61"/>
      <c r="CDL15" s="61"/>
      <c r="CDM15" s="61"/>
      <c r="CDN15" s="219"/>
      <c r="CDO15" s="61"/>
      <c r="CDP15" s="61"/>
      <c r="CDQ15" s="61"/>
      <c r="CDR15" s="219"/>
      <c r="CDS15" s="61"/>
      <c r="CDT15" s="61"/>
      <c r="CDU15" s="61"/>
      <c r="CDV15" s="219"/>
      <c r="CDW15" s="61"/>
      <c r="CDX15" s="61"/>
      <c r="CDY15" s="61"/>
      <c r="CDZ15" s="219"/>
      <c r="CEA15" s="61"/>
      <c r="CEB15" s="61"/>
      <c r="CEC15" s="61"/>
      <c r="CED15" s="219"/>
      <c r="CEE15" s="61"/>
      <c r="CEF15" s="61"/>
      <c r="CEG15" s="61"/>
      <c r="CEH15" s="219"/>
      <c r="CEI15" s="61"/>
      <c r="CEJ15" s="61"/>
      <c r="CEK15" s="61"/>
      <c r="CEL15" s="219"/>
      <c r="CEM15" s="61"/>
      <c r="CEN15" s="61"/>
      <c r="CEO15" s="61"/>
      <c r="CEP15" s="219"/>
      <c r="CEQ15" s="61"/>
      <c r="CER15" s="61"/>
      <c r="CES15" s="61"/>
      <c r="CET15" s="219"/>
      <c r="CEU15" s="61"/>
      <c r="CEV15" s="61"/>
      <c r="CEW15" s="61"/>
      <c r="CEX15" s="219"/>
      <c r="CEY15" s="61"/>
      <c r="CEZ15" s="61"/>
      <c r="CFA15" s="61"/>
      <c r="CFB15" s="219"/>
      <c r="CFC15" s="61"/>
      <c r="CFD15" s="61"/>
      <c r="CFE15" s="61"/>
      <c r="CFF15" s="219"/>
      <c r="CFG15" s="61"/>
      <c r="CFH15" s="61"/>
      <c r="CFI15" s="61"/>
      <c r="CFJ15" s="219"/>
      <c r="CFK15" s="61"/>
      <c r="CFL15" s="61"/>
      <c r="CFM15" s="61"/>
      <c r="CFN15" s="219"/>
      <c r="CFO15" s="61"/>
      <c r="CFP15" s="61"/>
      <c r="CFQ15" s="61"/>
      <c r="CFR15" s="219"/>
      <c r="CFS15" s="61"/>
      <c r="CFT15" s="61"/>
      <c r="CFU15" s="61"/>
      <c r="CFV15" s="219"/>
      <c r="CFW15" s="61"/>
      <c r="CFX15" s="61"/>
      <c r="CFY15" s="61"/>
      <c r="CFZ15" s="219"/>
      <c r="CGA15" s="61"/>
      <c r="CGB15" s="61">
        <v>0</v>
      </c>
      <c r="CGC15" s="61"/>
      <c r="CGD15" s="219" t="s">
        <v>135</v>
      </c>
      <c r="CGE15" s="61">
        <v>2</v>
      </c>
      <c r="CGF15" s="61">
        <v>0</v>
      </c>
      <c r="CGG15" s="61"/>
      <c r="CGH15" s="219" t="s">
        <v>135</v>
      </c>
      <c r="CGI15" s="61">
        <v>2</v>
      </c>
      <c r="CGJ15" s="61">
        <v>0</v>
      </c>
      <c r="CGK15" s="61"/>
      <c r="CGL15" s="219" t="s">
        <v>135</v>
      </c>
      <c r="CGM15" s="61">
        <v>2</v>
      </c>
      <c r="CGN15" s="61">
        <v>0</v>
      </c>
      <c r="CGO15" s="61"/>
      <c r="CGP15" s="219" t="s">
        <v>135</v>
      </c>
      <c r="CGQ15" s="61">
        <v>2</v>
      </c>
      <c r="CGR15" s="61">
        <v>0</v>
      </c>
      <c r="CGS15" s="61"/>
      <c r="CGT15" s="219" t="s">
        <v>135</v>
      </c>
      <c r="CGU15" s="61">
        <v>2</v>
      </c>
      <c r="CGV15" s="61">
        <v>0</v>
      </c>
      <c r="CGW15" s="61"/>
      <c r="CGX15" s="219" t="s">
        <v>135</v>
      </c>
      <c r="CGY15" s="61">
        <v>2</v>
      </c>
      <c r="CGZ15" s="61">
        <v>0</v>
      </c>
      <c r="CHA15" s="61"/>
      <c r="CHB15" s="219" t="s">
        <v>135</v>
      </c>
      <c r="CHC15" s="61">
        <v>2</v>
      </c>
      <c r="CHD15" s="61">
        <v>0</v>
      </c>
      <c r="CHE15" s="61"/>
      <c r="CHF15" s="219" t="s">
        <v>135</v>
      </c>
      <c r="CHG15" s="61">
        <v>2</v>
      </c>
      <c r="CHH15" s="61">
        <v>0</v>
      </c>
      <c r="CHI15" s="61"/>
      <c r="CHJ15" s="219" t="s">
        <v>135</v>
      </c>
      <c r="CHK15" s="61">
        <v>2</v>
      </c>
      <c r="CHL15" s="61">
        <v>0</v>
      </c>
      <c r="CHM15" s="61"/>
      <c r="CHN15" s="219" t="s">
        <v>135</v>
      </c>
      <c r="CHO15" s="61">
        <v>2</v>
      </c>
      <c r="CHP15" s="61">
        <v>0</v>
      </c>
      <c r="CHQ15" s="61"/>
      <c r="CHR15" s="219" t="s">
        <v>135</v>
      </c>
      <c r="CHS15" s="61">
        <v>2</v>
      </c>
      <c r="CHT15" s="61">
        <v>0</v>
      </c>
      <c r="CHU15" s="61"/>
      <c r="CHV15" s="219" t="s">
        <v>135</v>
      </c>
      <c r="CHW15" s="61">
        <v>2</v>
      </c>
      <c r="CHX15" s="61">
        <v>0</v>
      </c>
      <c r="CHY15" s="61"/>
      <c r="CHZ15" s="219" t="s">
        <v>135</v>
      </c>
      <c r="CIA15" s="61">
        <v>2</v>
      </c>
      <c r="CIB15" s="61">
        <v>0</v>
      </c>
      <c r="CIC15" s="61"/>
      <c r="CID15" s="219" t="s">
        <v>135</v>
      </c>
      <c r="CIE15" s="61">
        <v>2</v>
      </c>
      <c r="CIF15" s="61">
        <v>0</v>
      </c>
      <c r="CIG15" s="61"/>
      <c r="CIH15" s="219" t="s">
        <v>135</v>
      </c>
      <c r="CII15" s="61">
        <v>2</v>
      </c>
      <c r="CIJ15" s="61">
        <v>0</v>
      </c>
      <c r="CIK15" s="61"/>
      <c r="CIL15" s="219" t="s">
        <v>135</v>
      </c>
      <c r="CIM15" s="61">
        <v>2</v>
      </c>
      <c r="CIN15" s="61">
        <v>0</v>
      </c>
      <c r="CIO15" s="61"/>
      <c r="CIP15" s="219" t="s">
        <v>135</v>
      </c>
      <c r="CIQ15" s="61">
        <v>2</v>
      </c>
      <c r="CIR15" s="61">
        <v>0</v>
      </c>
      <c r="CIS15" s="61"/>
      <c r="CIT15" s="219" t="s">
        <v>135</v>
      </c>
      <c r="CIU15" s="61">
        <v>2</v>
      </c>
      <c r="CIV15" s="61">
        <v>0</v>
      </c>
      <c r="CIW15" s="61"/>
      <c r="CIX15" s="219" t="s">
        <v>135</v>
      </c>
      <c r="CIY15" s="61">
        <v>2</v>
      </c>
      <c r="CIZ15" s="61">
        <v>0</v>
      </c>
      <c r="CJA15" s="61"/>
      <c r="CJB15" s="219" t="s">
        <v>135</v>
      </c>
      <c r="CJC15" s="61">
        <v>2</v>
      </c>
      <c r="CJD15" s="61">
        <v>0</v>
      </c>
      <c r="CJE15" s="61"/>
      <c r="CJF15" s="219" t="s">
        <v>135</v>
      </c>
      <c r="CJG15" s="61">
        <v>2</v>
      </c>
      <c r="CJH15" s="61">
        <v>0</v>
      </c>
      <c r="CJI15" s="61"/>
      <c r="CJJ15" s="219" t="s">
        <v>135</v>
      </c>
      <c r="CJK15" s="61">
        <v>2</v>
      </c>
      <c r="CJL15" s="61">
        <v>0</v>
      </c>
      <c r="CJM15" s="61"/>
      <c r="CJN15" s="219" t="s">
        <v>135</v>
      </c>
      <c r="CJO15" s="61">
        <v>2</v>
      </c>
      <c r="CJP15" s="61">
        <v>0</v>
      </c>
      <c r="CJQ15" s="61"/>
      <c r="CJR15" s="219" t="s">
        <v>135</v>
      </c>
      <c r="CJS15" s="61">
        <v>2</v>
      </c>
      <c r="CJT15" s="61">
        <v>0</v>
      </c>
      <c r="CJU15" s="61"/>
      <c r="CJV15" s="219" t="s">
        <v>135</v>
      </c>
      <c r="CJW15" s="61">
        <v>2</v>
      </c>
      <c r="CJX15" s="61">
        <v>0</v>
      </c>
      <c r="CJY15" s="61"/>
      <c r="CJZ15" s="219" t="s">
        <v>135</v>
      </c>
      <c r="CKA15" s="61">
        <v>2</v>
      </c>
      <c r="CKB15" s="61">
        <v>0</v>
      </c>
      <c r="CKC15" s="61"/>
      <c r="CKD15" s="219" t="s">
        <v>135</v>
      </c>
      <c r="CKE15" s="61">
        <v>2</v>
      </c>
      <c r="CKF15" s="61">
        <v>0</v>
      </c>
      <c r="CKG15" s="61"/>
      <c r="CKH15" s="219" t="s">
        <v>135</v>
      </c>
      <c r="CKI15" s="61">
        <v>2</v>
      </c>
      <c r="CKJ15" s="61">
        <v>0</v>
      </c>
      <c r="CKK15" s="61"/>
      <c r="CKL15" s="219" t="s">
        <v>135</v>
      </c>
      <c r="CKM15" s="61">
        <v>2</v>
      </c>
      <c r="CKN15" s="61">
        <v>0</v>
      </c>
      <c r="CKO15" s="61"/>
      <c r="CKP15" s="219" t="s">
        <v>135</v>
      </c>
      <c r="CKQ15" s="61">
        <v>2</v>
      </c>
      <c r="CKR15" s="61">
        <v>0</v>
      </c>
      <c r="CKS15" s="61"/>
      <c r="CKT15" s="219" t="s">
        <v>135</v>
      </c>
      <c r="CKU15" s="61">
        <v>2</v>
      </c>
      <c r="CKV15" s="61">
        <v>0</v>
      </c>
      <c r="CKW15" s="61"/>
      <c r="CKX15" s="219" t="s">
        <v>135</v>
      </c>
      <c r="CKY15" s="61">
        <v>2</v>
      </c>
      <c r="CKZ15" s="61">
        <v>0</v>
      </c>
      <c r="CLA15" s="61"/>
      <c r="CLB15" s="219" t="s">
        <v>135</v>
      </c>
      <c r="CLC15" s="61">
        <v>2</v>
      </c>
      <c r="CLD15" s="61">
        <v>0</v>
      </c>
      <c r="CLE15" s="61"/>
      <c r="CLF15" s="219" t="s">
        <v>135</v>
      </c>
      <c r="CLG15" s="61">
        <v>2</v>
      </c>
      <c r="CLH15" s="61">
        <v>0</v>
      </c>
      <c r="CLI15" s="61"/>
      <c r="CLJ15" s="219" t="s">
        <v>135</v>
      </c>
      <c r="CLK15" s="61">
        <v>2</v>
      </c>
      <c r="CLL15" s="61">
        <v>0</v>
      </c>
      <c r="CLM15" s="61"/>
      <c r="CLN15" s="219" t="s">
        <v>135</v>
      </c>
      <c r="CLO15" s="61">
        <v>2</v>
      </c>
      <c r="CLP15" s="61">
        <v>0</v>
      </c>
      <c r="CLQ15" s="61"/>
      <c r="CLR15" s="219" t="s">
        <v>135</v>
      </c>
      <c r="CLS15" s="61">
        <v>2</v>
      </c>
      <c r="CLT15" s="61">
        <v>0</v>
      </c>
      <c r="CLU15" s="61"/>
      <c r="CLV15" s="219" t="s">
        <v>135</v>
      </c>
      <c r="CLW15" s="61">
        <v>2</v>
      </c>
      <c r="CLX15" s="61">
        <v>0</v>
      </c>
      <c r="CLY15" s="61"/>
      <c r="CLZ15" s="219" t="s">
        <v>135</v>
      </c>
      <c r="CMA15" s="61">
        <v>2</v>
      </c>
      <c r="CMB15" s="61">
        <v>0</v>
      </c>
      <c r="CMC15" s="61"/>
      <c r="CMD15" s="219" t="s">
        <v>135</v>
      </c>
      <c r="CME15" s="61">
        <v>2</v>
      </c>
      <c r="CMF15" s="61">
        <v>0</v>
      </c>
      <c r="CMG15" s="61"/>
      <c r="CMH15" s="219" t="s">
        <v>135</v>
      </c>
      <c r="CMI15" s="61">
        <v>2</v>
      </c>
      <c r="CMJ15" s="61">
        <v>0</v>
      </c>
      <c r="CMK15" s="61"/>
      <c r="CML15" s="219" t="s">
        <v>135</v>
      </c>
      <c r="CMM15" s="61">
        <v>2</v>
      </c>
      <c r="CMN15" s="61">
        <v>0</v>
      </c>
      <c r="CMO15" s="61"/>
      <c r="CMP15" s="219" t="s">
        <v>135</v>
      </c>
      <c r="CMQ15" s="61">
        <v>2</v>
      </c>
      <c r="CMR15" s="61">
        <v>0</v>
      </c>
      <c r="CMS15" s="61"/>
      <c r="CMT15" s="219" t="s">
        <v>135</v>
      </c>
      <c r="CMU15" s="61">
        <v>2</v>
      </c>
      <c r="CMV15" s="61">
        <v>0</v>
      </c>
      <c r="CMW15" s="61"/>
      <c r="CMX15" s="219" t="s">
        <v>135</v>
      </c>
      <c r="CMY15" s="61">
        <v>2</v>
      </c>
      <c r="CMZ15" s="61">
        <v>0</v>
      </c>
      <c r="CNA15" s="61"/>
      <c r="CNB15" s="219" t="s">
        <v>135</v>
      </c>
      <c r="CNC15" s="61">
        <v>2</v>
      </c>
      <c r="CND15" s="61">
        <v>0</v>
      </c>
      <c r="CNE15" s="61"/>
      <c r="CNF15" s="219" t="s">
        <v>135</v>
      </c>
      <c r="CNG15" s="61">
        <v>2</v>
      </c>
      <c r="CNH15" s="61">
        <v>0</v>
      </c>
      <c r="CNI15" s="61"/>
      <c r="CNJ15" s="219" t="s">
        <v>135</v>
      </c>
      <c r="CNK15" s="61">
        <v>2</v>
      </c>
      <c r="CNL15" s="61">
        <v>0</v>
      </c>
      <c r="CNM15" s="61"/>
      <c r="CNN15" s="219" t="s">
        <v>135</v>
      </c>
      <c r="CNO15" s="61">
        <v>2</v>
      </c>
      <c r="CNP15" s="61">
        <v>0</v>
      </c>
      <c r="CNQ15" s="61"/>
      <c r="CNR15" s="219" t="s">
        <v>135</v>
      </c>
      <c r="CNS15" s="61">
        <v>2</v>
      </c>
      <c r="CNT15" s="61">
        <v>0</v>
      </c>
      <c r="CNU15" s="61"/>
      <c r="CNV15" s="219" t="s">
        <v>135</v>
      </c>
      <c r="CNW15" s="61">
        <v>2</v>
      </c>
      <c r="CNX15" s="61">
        <v>0</v>
      </c>
      <c r="CNY15" s="61"/>
      <c r="CNZ15" s="219" t="s">
        <v>135</v>
      </c>
      <c r="COA15" s="61">
        <v>2</v>
      </c>
      <c r="COB15" s="61">
        <v>0</v>
      </c>
      <c r="COC15" s="61"/>
      <c r="COD15" s="219" t="s">
        <v>135</v>
      </c>
      <c r="COE15" s="61">
        <v>2</v>
      </c>
      <c r="COF15" s="61">
        <v>0</v>
      </c>
      <c r="COG15" s="61"/>
      <c r="COH15" s="219" t="s">
        <v>135</v>
      </c>
      <c r="COI15" s="61">
        <v>2</v>
      </c>
      <c r="COJ15" s="61">
        <v>0</v>
      </c>
      <c r="COK15" s="61"/>
      <c r="COL15" s="219" t="s">
        <v>135</v>
      </c>
      <c r="COM15" s="61">
        <v>2</v>
      </c>
      <c r="CON15" s="61">
        <v>0</v>
      </c>
      <c r="COO15" s="61"/>
      <c r="COP15" s="219" t="s">
        <v>135</v>
      </c>
      <c r="COQ15" s="61">
        <v>2</v>
      </c>
      <c r="COR15" s="61">
        <v>0</v>
      </c>
      <c r="COS15" s="61"/>
      <c r="COT15" s="219" t="s">
        <v>135</v>
      </c>
      <c r="COU15" s="61">
        <v>2</v>
      </c>
      <c r="COV15" s="61">
        <v>0</v>
      </c>
      <c r="COW15" s="61"/>
      <c r="COX15" s="219" t="s">
        <v>135</v>
      </c>
      <c r="COY15" s="61">
        <v>2</v>
      </c>
      <c r="COZ15" s="61">
        <v>0</v>
      </c>
      <c r="CPA15" s="61"/>
      <c r="CPB15" s="219" t="s">
        <v>135</v>
      </c>
      <c r="CPC15" s="61">
        <v>2</v>
      </c>
      <c r="CPD15" s="61">
        <v>0</v>
      </c>
      <c r="CPE15" s="61"/>
      <c r="CPF15" s="219" t="s">
        <v>135</v>
      </c>
      <c r="CPG15" s="61">
        <v>2</v>
      </c>
      <c r="CPH15" s="61">
        <v>0</v>
      </c>
      <c r="CPI15" s="61"/>
      <c r="CPJ15" s="219" t="s">
        <v>135</v>
      </c>
      <c r="CPK15" s="61">
        <v>2</v>
      </c>
      <c r="CPL15" s="61">
        <v>0</v>
      </c>
      <c r="CPM15" s="61"/>
      <c r="CPN15" s="219" t="s">
        <v>135</v>
      </c>
      <c r="CPO15" s="61">
        <v>2</v>
      </c>
      <c r="CPP15" s="61">
        <v>0</v>
      </c>
      <c r="CPQ15" s="61"/>
      <c r="CPR15" s="219" t="s">
        <v>135</v>
      </c>
      <c r="CPS15" s="61">
        <v>2</v>
      </c>
      <c r="CPT15" s="61">
        <v>0</v>
      </c>
      <c r="CPU15" s="61"/>
      <c r="CPV15" s="219" t="s">
        <v>135</v>
      </c>
      <c r="CPW15" s="61">
        <v>2</v>
      </c>
      <c r="CPX15" s="61">
        <v>0</v>
      </c>
      <c r="CPY15" s="61"/>
      <c r="CPZ15" s="219" t="s">
        <v>135</v>
      </c>
      <c r="CQA15" s="61">
        <v>2</v>
      </c>
      <c r="CQB15" s="61">
        <v>0</v>
      </c>
      <c r="CQC15" s="61"/>
      <c r="CQD15" s="219" t="s">
        <v>135</v>
      </c>
      <c r="CQE15" s="61">
        <v>2</v>
      </c>
      <c r="CQF15" s="61">
        <v>0</v>
      </c>
      <c r="CQG15" s="61"/>
      <c r="CQH15" s="219" t="s">
        <v>135</v>
      </c>
      <c r="CQI15" s="61">
        <v>2</v>
      </c>
      <c r="CQJ15" s="61">
        <v>0</v>
      </c>
      <c r="CQK15" s="61"/>
      <c r="CQL15" s="219" t="s">
        <v>135</v>
      </c>
      <c r="CQM15" s="61">
        <v>2</v>
      </c>
      <c r="CQN15" s="61">
        <v>0</v>
      </c>
      <c r="CQO15" s="61"/>
      <c r="CQP15" s="219" t="s">
        <v>135</v>
      </c>
      <c r="CQQ15" s="61">
        <v>2</v>
      </c>
      <c r="CQR15" s="61">
        <v>0</v>
      </c>
      <c r="CQS15" s="61"/>
      <c r="CQT15" s="219" t="s">
        <v>135</v>
      </c>
      <c r="CQU15" s="61">
        <v>2</v>
      </c>
      <c r="CQV15" s="61">
        <v>0</v>
      </c>
      <c r="CQW15" s="61"/>
      <c r="CQX15" s="219" t="s">
        <v>135</v>
      </c>
      <c r="CQY15" s="61">
        <v>2</v>
      </c>
      <c r="CQZ15" s="61">
        <v>0</v>
      </c>
      <c r="CRA15" s="61"/>
      <c r="CRB15" s="219" t="s">
        <v>135</v>
      </c>
      <c r="CRC15" s="61">
        <v>2</v>
      </c>
      <c r="CRD15" s="61">
        <v>0</v>
      </c>
      <c r="CRE15" s="61"/>
      <c r="CRF15" s="219" t="s">
        <v>135</v>
      </c>
      <c r="CRG15" s="61">
        <v>2</v>
      </c>
      <c r="CRH15" s="61">
        <v>0</v>
      </c>
      <c r="CRI15" s="61"/>
      <c r="CRJ15" s="219" t="s">
        <v>135</v>
      </c>
      <c r="CRK15" s="61">
        <v>2</v>
      </c>
      <c r="CRL15" s="61">
        <v>0</v>
      </c>
      <c r="CRM15" s="61"/>
      <c r="CRN15" s="219" t="s">
        <v>135</v>
      </c>
      <c r="CRO15" s="61">
        <v>2</v>
      </c>
      <c r="CRP15" s="61">
        <v>0</v>
      </c>
      <c r="CRQ15" s="61"/>
      <c r="CRR15" s="219" t="s">
        <v>135</v>
      </c>
      <c r="CRS15" s="61">
        <v>2</v>
      </c>
      <c r="CRT15" s="61">
        <v>0</v>
      </c>
      <c r="CRU15" s="61"/>
      <c r="CRV15" s="219" t="s">
        <v>135</v>
      </c>
      <c r="CRW15" s="61">
        <v>2</v>
      </c>
      <c r="CRX15" s="61">
        <v>0</v>
      </c>
      <c r="CRY15" s="61"/>
      <c r="CRZ15" s="219" t="s">
        <v>135</v>
      </c>
      <c r="CSA15" s="61">
        <v>2</v>
      </c>
      <c r="CSB15" s="61">
        <v>0</v>
      </c>
      <c r="CSC15" s="61"/>
      <c r="CSD15" s="219" t="s">
        <v>135</v>
      </c>
      <c r="CSE15" s="61">
        <v>2</v>
      </c>
      <c r="CSF15" s="61">
        <v>0</v>
      </c>
      <c r="CSG15" s="61"/>
      <c r="CSH15" s="219" t="s">
        <v>135</v>
      </c>
      <c r="CSI15" s="61">
        <v>2</v>
      </c>
      <c r="CSJ15" s="61">
        <v>0</v>
      </c>
      <c r="CSK15" s="61"/>
      <c r="CSL15" s="219" t="s">
        <v>135</v>
      </c>
      <c r="CSM15" s="61">
        <v>2</v>
      </c>
      <c r="CSN15" s="61">
        <v>0</v>
      </c>
      <c r="CSO15" s="61"/>
      <c r="CSP15" s="219" t="s">
        <v>135</v>
      </c>
      <c r="CSQ15" s="61">
        <v>2</v>
      </c>
      <c r="CSR15" s="61">
        <v>0</v>
      </c>
      <c r="CSS15" s="61"/>
      <c r="CST15" s="219" t="s">
        <v>135</v>
      </c>
      <c r="CSU15" s="61">
        <v>2</v>
      </c>
      <c r="CSV15" s="61">
        <v>0</v>
      </c>
      <c r="CSW15" s="61"/>
      <c r="CSX15" s="219" t="s">
        <v>135</v>
      </c>
      <c r="CSY15" s="61">
        <v>2</v>
      </c>
      <c r="CSZ15" s="61">
        <v>0</v>
      </c>
      <c r="CTA15" s="61"/>
      <c r="CTB15" s="219" t="s">
        <v>135</v>
      </c>
      <c r="CTC15" s="61">
        <v>2</v>
      </c>
      <c r="CTD15" s="61">
        <v>0</v>
      </c>
      <c r="CTE15" s="61"/>
      <c r="CTF15" s="219" t="s">
        <v>135</v>
      </c>
      <c r="CTG15" s="61">
        <v>2</v>
      </c>
      <c r="CTH15" s="61">
        <v>0</v>
      </c>
      <c r="CTI15" s="61"/>
      <c r="CTJ15" s="219" t="s">
        <v>135</v>
      </c>
      <c r="CTK15" s="61">
        <v>2</v>
      </c>
      <c r="CTL15" s="61">
        <v>0</v>
      </c>
      <c r="CTM15" s="61"/>
      <c r="CTN15" s="219" t="s">
        <v>135</v>
      </c>
      <c r="CTO15" s="61">
        <v>2</v>
      </c>
      <c r="CTP15" s="61">
        <v>0</v>
      </c>
      <c r="CTQ15" s="61"/>
      <c r="CTR15" s="219" t="s">
        <v>135</v>
      </c>
      <c r="CTS15" s="61">
        <v>2</v>
      </c>
      <c r="CTT15" s="61">
        <v>0</v>
      </c>
      <c r="CTU15" s="61"/>
      <c r="CTV15" s="219" t="s">
        <v>135</v>
      </c>
      <c r="CTW15" s="61">
        <v>2</v>
      </c>
      <c r="CTX15" s="61">
        <v>0</v>
      </c>
      <c r="CTY15" s="61"/>
      <c r="CTZ15" s="219" t="s">
        <v>135</v>
      </c>
      <c r="CUA15" s="61">
        <v>2</v>
      </c>
      <c r="CUB15" s="61">
        <v>0</v>
      </c>
      <c r="CUC15" s="61"/>
      <c r="CUD15" s="219" t="s">
        <v>135</v>
      </c>
      <c r="CUE15" s="61">
        <v>2</v>
      </c>
      <c r="CUF15" s="61">
        <v>0</v>
      </c>
      <c r="CUG15" s="61"/>
      <c r="CUH15" s="219" t="s">
        <v>135</v>
      </c>
      <c r="CUI15" s="61">
        <v>2</v>
      </c>
      <c r="CUJ15" s="61">
        <v>0</v>
      </c>
      <c r="CUK15" s="61"/>
      <c r="CUL15" s="219" t="s">
        <v>135</v>
      </c>
      <c r="CUM15" s="61">
        <v>2</v>
      </c>
      <c r="CUN15" s="61">
        <v>0</v>
      </c>
      <c r="CUO15" s="61"/>
      <c r="CUP15" s="219" t="s">
        <v>135</v>
      </c>
      <c r="CUQ15" s="61">
        <v>2</v>
      </c>
      <c r="CUR15" s="61">
        <v>0</v>
      </c>
      <c r="CUS15" s="61"/>
      <c r="CUT15" s="219" t="s">
        <v>135</v>
      </c>
      <c r="CUU15" s="61">
        <v>2</v>
      </c>
      <c r="CUV15" s="61">
        <v>0</v>
      </c>
      <c r="CUW15" s="61"/>
      <c r="CUX15" s="219" t="s">
        <v>135</v>
      </c>
      <c r="CUY15" s="61">
        <v>2</v>
      </c>
      <c r="CUZ15" s="61">
        <v>0</v>
      </c>
      <c r="CVA15" s="61"/>
      <c r="CVB15" s="219" t="s">
        <v>135</v>
      </c>
      <c r="CVC15" s="61">
        <v>2</v>
      </c>
      <c r="CVD15" s="61">
        <v>0</v>
      </c>
      <c r="CVE15" s="61"/>
      <c r="CVF15" s="219" t="s">
        <v>135</v>
      </c>
      <c r="CVG15" s="61">
        <v>2</v>
      </c>
      <c r="CVH15" s="61">
        <v>0</v>
      </c>
      <c r="CVI15" s="61"/>
      <c r="CVJ15" s="219" t="s">
        <v>135</v>
      </c>
      <c r="CVK15" s="61">
        <v>2</v>
      </c>
      <c r="CVL15" s="61">
        <v>0</v>
      </c>
      <c r="CVM15" s="61"/>
      <c r="CVN15" s="219" t="s">
        <v>135</v>
      </c>
      <c r="CVO15" s="61">
        <v>2</v>
      </c>
      <c r="CVP15" s="61">
        <v>0</v>
      </c>
      <c r="CVQ15" s="61"/>
      <c r="CVR15" s="219" t="s">
        <v>135</v>
      </c>
      <c r="CVS15" s="61">
        <v>2</v>
      </c>
      <c r="CVT15" s="61">
        <v>0</v>
      </c>
      <c r="CVU15" s="61"/>
      <c r="CVV15" s="219" t="s">
        <v>135</v>
      </c>
      <c r="CVW15" s="61">
        <v>2</v>
      </c>
      <c r="CVX15" s="61">
        <v>0</v>
      </c>
      <c r="CVY15" s="61"/>
      <c r="CVZ15" s="219" t="s">
        <v>135</v>
      </c>
      <c r="CWA15" s="61">
        <v>2</v>
      </c>
      <c r="CWB15" s="61">
        <v>0</v>
      </c>
      <c r="CWC15" s="61"/>
      <c r="CWD15" s="219" t="s">
        <v>135</v>
      </c>
      <c r="CWE15" s="61">
        <v>2</v>
      </c>
      <c r="CWF15" s="61">
        <v>0</v>
      </c>
      <c r="CWG15" s="61"/>
      <c r="CWH15" s="219" t="s">
        <v>135</v>
      </c>
      <c r="CWI15" s="61">
        <v>2</v>
      </c>
      <c r="CWJ15" s="61">
        <v>0</v>
      </c>
      <c r="CWK15" s="61"/>
      <c r="CWL15" s="219" t="s">
        <v>135</v>
      </c>
      <c r="CWM15" s="61">
        <v>2</v>
      </c>
      <c r="CWN15" s="61">
        <v>0</v>
      </c>
      <c r="CWO15" s="61"/>
      <c r="CWP15" s="219" t="s">
        <v>135</v>
      </c>
      <c r="CWQ15" s="61">
        <v>2</v>
      </c>
      <c r="CWR15" s="61">
        <v>0</v>
      </c>
      <c r="CWS15" s="61"/>
      <c r="CWT15" s="219" t="s">
        <v>135</v>
      </c>
      <c r="CWU15" s="61">
        <v>2</v>
      </c>
      <c r="CWV15" s="61">
        <v>0</v>
      </c>
      <c r="CWW15" s="61"/>
      <c r="CWX15" s="219" t="s">
        <v>135</v>
      </c>
      <c r="CWY15" s="61">
        <v>2</v>
      </c>
      <c r="CWZ15" s="61">
        <v>0</v>
      </c>
      <c r="CXA15" s="61"/>
      <c r="CXB15" s="219" t="s">
        <v>135</v>
      </c>
      <c r="CXC15" s="61">
        <v>2</v>
      </c>
      <c r="CXD15" s="61">
        <v>0</v>
      </c>
      <c r="CXE15" s="61"/>
      <c r="CXF15" s="219" t="s">
        <v>135</v>
      </c>
      <c r="CXG15" s="61">
        <v>2</v>
      </c>
      <c r="CXH15" s="61">
        <v>0</v>
      </c>
      <c r="CXI15" s="61"/>
      <c r="CXJ15" s="219" t="s">
        <v>135</v>
      </c>
      <c r="CXK15" s="61">
        <v>2</v>
      </c>
      <c r="CXL15" s="61">
        <v>0</v>
      </c>
      <c r="CXM15" s="61"/>
      <c r="CXN15" s="219" t="s">
        <v>135</v>
      </c>
      <c r="CXO15" s="61">
        <v>2</v>
      </c>
      <c r="CXP15" s="61">
        <v>0</v>
      </c>
      <c r="CXQ15" s="61"/>
      <c r="CXR15" s="219" t="s">
        <v>135</v>
      </c>
      <c r="CXS15" s="61">
        <v>2</v>
      </c>
      <c r="CXT15" s="61">
        <v>0</v>
      </c>
      <c r="CXU15" s="61"/>
      <c r="CXV15" s="219" t="s">
        <v>135</v>
      </c>
      <c r="CXW15" s="61">
        <v>2</v>
      </c>
      <c r="CXX15" s="61">
        <v>0</v>
      </c>
      <c r="CXY15" s="61"/>
      <c r="CXZ15" s="219" t="s">
        <v>135</v>
      </c>
      <c r="CYA15" s="61">
        <v>2</v>
      </c>
      <c r="CYB15" s="61">
        <v>0</v>
      </c>
      <c r="CYC15" s="61"/>
      <c r="CYD15" s="219" t="s">
        <v>135</v>
      </c>
      <c r="CYE15" s="61">
        <v>2</v>
      </c>
      <c r="CYF15" s="61">
        <v>0</v>
      </c>
      <c r="CYG15" s="61"/>
      <c r="CYH15" s="219" t="s">
        <v>135</v>
      </c>
      <c r="CYI15" s="61">
        <v>2</v>
      </c>
      <c r="CYJ15" s="61">
        <v>0</v>
      </c>
      <c r="CYK15" s="61"/>
      <c r="CYL15" s="219" t="s">
        <v>135</v>
      </c>
      <c r="CYM15" s="61">
        <v>2</v>
      </c>
      <c r="CYN15" s="61">
        <v>0</v>
      </c>
      <c r="CYO15" s="61"/>
      <c r="CYP15" s="219" t="s">
        <v>135</v>
      </c>
      <c r="CYQ15" s="61">
        <v>2</v>
      </c>
      <c r="CYR15" s="61">
        <v>0</v>
      </c>
      <c r="CYS15" s="61"/>
      <c r="CYT15" s="219" t="s">
        <v>135</v>
      </c>
      <c r="CYU15" s="61">
        <v>2</v>
      </c>
      <c r="CYV15" s="61">
        <v>0</v>
      </c>
      <c r="CYW15" s="61"/>
      <c r="CYX15" s="219" t="s">
        <v>135</v>
      </c>
      <c r="CYY15" s="61">
        <v>2</v>
      </c>
      <c r="CYZ15" s="61">
        <v>0</v>
      </c>
      <c r="CZA15" s="61"/>
      <c r="CZB15" s="219" t="s">
        <v>135</v>
      </c>
      <c r="CZC15" s="61">
        <v>2</v>
      </c>
      <c r="CZD15" s="61">
        <v>0</v>
      </c>
      <c r="CZE15" s="61"/>
      <c r="CZF15" s="219" t="s">
        <v>135</v>
      </c>
      <c r="CZG15" s="61">
        <v>2</v>
      </c>
      <c r="CZH15" s="61">
        <v>0</v>
      </c>
      <c r="CZI15" s="61"/>
      <c r="CZJ15" s="219" t="s">
        <v>135</v>
      </c>
      <c r="CZK15" s="61">
        <v>2</v>
      </c>
      <c r="CZL15" s="61">
        <v>0</v>
      </c>
      <c r="CZM15" s="61"/>
      <c r="CZN15" s="219" t="s">
        <v>135</v>
      </c>
      <c r="CZO15" s="61">
        <v>2</v>
      </c>
      <c r="CZP15" s="61">
        <v>0</v>
      </c>
      <c r="CZQ15" s="61"/>
      <c r="CZR15" s="219" t="s">
        <v>135</v>
      </c>
      <c r="CZS15" s="61">
        <v>2</v>
      </c>
      <c r="CZT15" s="61">
        <v>0</v>
      </c>
      <c r="CZU15" s="61"/>
      <c r="CZV15" s="219" t="s">
        <v>135</v>
      </c>
      <c r="CZW15" s="61">
        <v>2</v>
      </c>
      <c r="CZX15" s="61">
        <v>0</v>
      </c>
      <c r="CZY15" s="61"/>
      <c r="CZZ15" s="219" t="s">
        <v>135</v>
      </c>
      <c r="DAA15" s="61">
        <v>2</v>
      </c>
      <c r="DAB15" s="61">
        <v>0</v>
      </c>
      <c r="DAC15" s="61"/>
      <c r="DAD15" s="219" t="s">
        <v>135</v>
      </c>
      <c r="DAE15" s="61">
        <v>2</v>
      </c>
      <c r="DAF15" s="61">
        <v>0</v>
      </c>
      <c r="DAG15" s="61"/>
      <c r="DAH15" s="219" t="s">
        <v>135</v>
      </c>
      <c r="DAI15" s="61">
        <v>2</v>
      </c>
      <c r="DAJ15" s="61">
        <v>0</v>
      </c>
      <c r="DAK15" s="61"/>
      <c r="DAL15" s="219" t="s">
        <v>135</v>
      </c>
      <c r="DAM15" s="61">
        <v>2</v>
      </c>
      <c r="DAN15" s="61">
        <v>0</v>
      </c>
      <c r="DAO15" s="61"/>
      <c r="DAP15" s="219" t="s">
        <v>135</v>
      </c>
      <c r="DAQ15" s="61">
        <v>2</v>
      </c>
      <c r="DAR15" s="61">
        <v>0</v>
      </c>
      <c r="DAS15" s="61"/>
      <c r="DAT15" s="219" t="s">
        <v>135</v>
      </c>
      <c r="DAU15" s="61">
        <v>2</v>
      </c>
      <c r="DAV15" s="61">
        <v>0</v>
      </c>
      <c r="DAW15" s="61"/>
      <c r="DAX15" s="219" t="s">
        <v>135</v>
      </c>
      <c r="DAY15" s="61">
        <v>2</v>
      </c>
      <c r="DAZ15" s="61">
        <v>0</v>
      </c>
      <c r="DBA15" s="61"/>
      <c r="DBB15" s="219" t="s">
        <v>135</v>
      </c>
      <c r="DBC15" s="61">
        <v>2</v>
      </c>
      <c r="DBD15" s="61">
        <v>0</v>
      </c>
      <c r="DBE15" s="61"/>
      <c r="DBF15" s="219" t="s">
        <v>135</v>
      </c>
      <c r="DBG15" s="61">
        <v>2</v>
      </c>
      <c r="DBH15" s="61">
        <v>0</v>
      </c>
      <c r="DBI15" s="61"/>
      <c r="DBJ15" s="219" t="s">
        <v>135</v>
      </c>
      <c r="DBK15" s="61">
        <v>2</v>
      </c>
      <c r="DBL15" s="61">
        <v>0</v>
      </c>
      <c r="DBM15" s="61"/>
      <c r="DBN15" s="219" t="s">
        <v>135</v>
      </c>
      <c r="DBO15" s="61">
        <v>2</v>
      </c>
      <c r="DBP15" s="61">
        <v>0</v>
      </c>
      <c r="DBQ15" s="61"/>
      <c r="DBR15" s="219" t="s">
        <v>135</v>
      </c>
      <c r="DBS15" s="61">
        <v>2</v>
      </c>
      <c r="DBT15" s="61">
        <v>0</v>
      </c>
      <c r="DBU15" s="61"/>
      <c r="DBV15" s="219" t="s">
        <v>135</v>
      </c>
      <c r="DBW15" s="61">
        <v>2</v>
      </c>
      <c r="DBX15" s="61">
        <v>0</v>
      </c>
      <c r="DBY15" s="61"/>
      <c r="DBZ15" s="219" t="s">
        <v>135</v>
      </c>
      <c r="DCA15" s="61">
        <v>2</v>
      </c>
      <c r="DCB15" s="61">
        <v>0</v>
      </c>
      <c r="DCC15" s="61"/>
      <c r="DCD15" s="219" t="s">
        <v>135</v>
      </c>
      <c r="DCE15" s="61">
        <v>2</v>
      </c>
      <c r="DCF15" s="61">
        <v>0</v>
      </c>
      <c r="DCG15" s="61"/>
      <c r="DCH15" s="219" t="s">
        <v>135</v>
      </c>
      <c r="DCI15" s="61">
        <v>2</v>
      </c>
      <c r="DCJ15" s="61">
        <v>0</v>
      </c>
    </row>
    <row r="16" spans="1:2792" ht="14" customHeight="1">
      <c r="A16" s="57"/>
      <c r="B16" s="350" t="s">
        <v>1006</v>
      </c>
      <c r="C16" s="59">
        <v>1</v>
      </c>
      <c r="D16" s="59">
        <v>200</v>
      </c>
      <c r="E16" s="57"/>
      <c r="F16" s="57">
        <v>200</v>
      </c>
      <c r="G16" s="365"/>
      <c r="H16" s="209"/>
      <c r="I16" s="209"/>
      <c r="J16" s="209"/>
      <c r="K16" s="210"/>
      <c r="L16" s="210"/>
      <c r="M16" s="210"/>
      <c r="N16" s="210"/>
      <c r="O16" s="210"/>
      <c r="P16" s="210"/>
      <c r="Q16" s="210"/>
    </row>
    <row r="17" spans="1:257" ht="15.5" customHeight="1">
      <c r="A17" s="57"/>
      <c r="B17" s="350" t="s">
        <v>1180</v>
      </c>
      <c r="C17" s="59">
        <v>1</v>
      </c>
      <c r="D17" s="59">
        <v>0</v>
      </c>
      <c r="E17" s="57"/>
      <c r="F17" s="57">
        <v>0</v>
      </c>
      <c r="G17" s="365"/>
      <c r="H17" s="209"/>
      <c r="I17" s="209"/>
      <c r="J17" s="209"/>
      <c r="K17" s="210"/>
      <c r="L17" s="210"/>
      <c r="M17" s="210"/>
      <c r="N17" s="210"/>
      <c r="O17" s="210"/>
      <c r="P17" s="210"/>
      <c r="Q17" s="210"/>
    </row>
    <row r="18" spans="1:257" ht="14" customHeight="1">
      <c r="A18" s="59"/>
      <c r="B18" s="350"/>
      <c r="C18" s="59"/>
      <c r="D18" s="59"/>
      <c r="E18" s="59"/>
      <c r="F18" s="59"/>
      <c r="G18" s="337"/>
      <c r="H18" s="209"/>
      <c r="I18" s="209"/>
      <c r="J18" s="209"/>
      <c r="K18" s="210"/>
      <c r="L18" s="210"/>
      <c r="M18" s="210"/>
      <c r="N18" s="210"/>
      <c r="O18" s="210"/>
      <c r="P18" s="210"/>
      <c r="Q18" s="210"/>
    </row>
    <row r="19" spans="1:257" ht="13.25" customHeight="1">
      <c r="A19" s="59"/>
      <c r="B19" s="244"/>
      <c r="C19" s="59"/>
      <c r="D19" s="59"/>
      <c r="E19" s="59"/>
      <c r="F19" s="59"/>
      <c r="G19" s="337"/>
      <c r="H19" s="209"/>
      <c r="I19" s="209"/>
      <c r="J19" s="209"/>
      <c r="K19" s="210"/>
      <c r="L19" s="210"/>
      <c r="M19" s="210"/>
      <c r="N19" s="210"/>
      <c r="O19" s="210"/>
      <c r="P19" s="210"/>
      <c r="Q19" s="210"/>
    </row>
    <row r="20" spans="1:257" ht="13.25" customHeight="1">
      <c r="A20" s="59"/>
      <c r="B20" s="244"/>
      <c r="C20" s="59"/>
      <c r="D20" s="59"/>
      <c r="E20" s="59"/>
      <c r="F20" s="59"/>
      <c r="G20" s="337"/>
      <c r="H20" s="209"/>
      <c r="I20" s="209"/>
      <c r="J20" s="209"/>
      <c r="K20" s="210"/>
      <c r="L20" s="210"/>
      <c r="M20" s="210"/>
      <c r="N20" s="210"/>
      <c r="O20" s="210"/>
      <c r="P20" s="210"/>
      <c r="Q20" s="210"/>
    </row>
    <row r="21" spans="1:257" ht="14" customHeight="1">
      <c r="A21" s="59"/>
      <c r="B21" s="244"/>
      <c r="C21" s="59"/>
      <c r="D21" s="59"/>
      <c r="E21" s="59"/>
      <c r="F21" s="59"/>
      <c r="G21" s="337"/>
      <c r="H21" s="209"/>
      <c r="I21" s="209"/>
      <c r="J21" s="209"/>
      <c r="K21" s="210"/>
      <c r="L21" s="210"/>
      <c r="M21" s="210"/>
      <c r="N21" s="210"/>
      <c r="O21" s="210"/>
      <c r="P21" s="210"/>
      <c r="Q21" s="210"/>
    </row>
    <row r="22" spans="1:257" ht="14.5" customHeight="1">
      <c r="A22" s="59"/>
      <c r="B22" s="244"/>
      <c r="C22" s="59"/>
      <c r="D22" s="59"/>
      <c r="E22" s="59"/>
      <c r="F22" s="59"/>
      <c r="G22" s="337"/>
      <c r="H22" s="209"/>
      <c r="I22" s="209"/>
      <c r="J22" s="209"/>
      <c r="K22" s="210"/>
      <c r="L22" s="210"/>
      <c r="M22" s="210"/>
      <c r="N22" s="210"/>
      <c r="O22" s="210"/>
      <c r="P22" s="210"/>
      <c r="Q22" s="210"/>
    </row>
    <row r="23" spans="1:257" ht="14.5" customHeight="1">
      <c r="A23" s="59"/>
      <c r="B23" s="244"/>
      <c r="C23" s="59"/>
      <c r="D23" s="59"/>
      <c r="E23" s="59"/>
      <c r="F23" s="59"/>
      <c r="G23" s="337"/>
      <c r="H23" s="209"/>
      <c r="I23" s="209"/>
      <c r="J23" s="210"/>
      <c r="K23" s="210"/>
      <c r="L23" s="210"/>
      <c r="M23" s="210"/>
      <c r="N23" s="210"/>
      <c r="O23" s="210"/>
      <c r="P23" s="210"/>
      <c r="Q23" s="210"/>
    </row>
    <row r="24" spans="1:257" ht="14" customHeight="1">
      <c r="A24" s="59"/>
      <c r="B24" s="244"/>
      <c r="C24" s="59"/>
      <c r="D24" s="59"/>
      <c r="E24" s="59"/>
      <c r="F24" s="59"/>
      <c r="G24" s="337"/>
      <c r="H24" s="209"/>
      <c r="I24" s="209"/>
      <c r="J24" s="209"/>
      <c r="K24" s="210"/>
      <c r="L24" s="210"/>
      <c r="M24" s="210"/>
      <c r="N24" s="210"/>
      <c r="O24" s="210"/>
      <c r="P24" s="210"/>
      <c r="Q24" s="210"/>
    </row>
    <row r="25" spans="1:257" ht="15" customHeight="1">
      <c r="A25" s="59"/>
      <c r="B25" s="244"/>
      <c r="C25" s="59"/>
      <c r="D25" s="59"/>
      <c r="E25" s="59"/>
      <c r="F25" s="59"/>
      <c r="G25" s="337"/>
      <c r="H25" s="209"/>
      <c r="I25" s="209"/>
      <c r="J25" s="209" t="s">
        <v>133</v>
      </c>
      <c r="K25" s="210"/>
      <c r="L25" s="210"/>
      <c r="M25" s="210"/>
      <c r="N25" s="210"/>
      <c r="O25" s="210"/>
      <c r="P25" s="210"/>
      <c r="Q25" s="210"/>
    </row>
    <row r="26" spans="1:257" ht="15" customHeight="1">
      <c r="A26" s="59"/>
      <c r="B26" s="244"/>
      <c r="C26" s="59"/>
      <c r="D26" s="59"/>
      <c r="E26" s="59"/>
      <c r="F26" s="59"/>
      <c r="G26" s="337"/>
      <c r="H26" s="209"/>
      <c r="I26" s="209"/>
      <c r="J26" s="209"/>
      <c r="K26" s="210"/>
      <c r="L26" s="210"/>
      <c r="M26" s="210"/>
      <c r="N26" s="210"/>
      <c r="O26" s="210"/>
      <c r="P26" s="210"/>
      <c r="Q26" s="210"/>
    </row>
    <row r="27" spans="1:257" ht="15" customHeight="1">
      <c r="A27" s="59"/>
      <c r="B27" s="244"/>
      <c r="C27" s="59"/>
      <c r="D27" s="59"/>
      <c r="E27" s="59"/>
      <c r="F27" s="59"/>
      <c r="G27" s="337"/>
      <c r="H27" s="209"/>
      <c r="I27" s="209"/>
      <c r="J27" s="209"/>
      <c r="K27" s="210"/>
      <c r="L27" s="210"/>
      <c r="M27" s="210"/>
      <c r="N27" s="210"/>
      <c r="O27" s="210"/>
      <c r="P27" s="210"/>
      <c r="Q27" s="210"/>
    </row>
    <row r="28" spans="1:257" ht="15.75" customHeight="1">
      <c r="A28" s="59"/>
      <c r="B28" s="244"/>
      <c r="C28" s="59"/>
      <c r="D28" s="59"/>
      <c r="E28" s="59"/>
      <c r="F28" s="59"/>
      <c r="G28" s="337"/>
      <c r="H28" s="209"/>
      <c r="I28" s="209"/>
      <c r="J28" s="209"/>
      <c r="K28" s="210"/>
      <c r="L28" s="220"/>
      <c r="M28" s="221"/>
      <c r="N28" s="210"/>
      <c r="O28" s="222"/>
      <c r="P28" s="223"/>
      <c r="Q28" s="222"/>
      <c r="R28" s="222"/>
      <c r="S28" s="224"/>
      <c r="T28" s="210"/>
      <c r="U28" s="222"/>
      <c r="V28" s="223"/>
      <c r="W28" s="222"/>
      <c r="X28" s="222"/>
      <c r="Y28" s="224"/>
      <c r="IW28" s="210"/>
    </row>
    <row r="29" spans="1:257" ht="15.75" customHeight="1">
      <c r="A29" s="59"/>
      <c r="B29" s="244"/>
      <c r="C29" s="59"/>
      <c r="D29" s="59"/>
      <c r="E29" s="59"/>
      <c r="F29" s="59"/>
      <c r="G29" s="337"/>
      <c r="H29" s="209"/>
      <c r="I29" s="209"/>
      <c r="J29" s="209"/>
      <c r="K29" s="210"/>
      <c r="L29" s="220"/>
      <c r="M29" s="221"/>
      <c r="N29" s="210"/>
      <c r="O29" s="222"/>
      <c r="P29" s="223"/>
      <c r="Q29" s="222"/>
      <c r="R29" s="222"/>
      <c r="S29" s="225"/>
      <c r="T29" s="210"/>
      <c r="U29" s="222"/>
      <c r="V29" s="223"/>
      <c r="W29" s="222"/>
      <c r="X29" s="222"/>
      <c r="Y29" s="225"/>
      <c r="IW29" s="210"/>
    </row>
    <row r="30" spans="1:257" ht="15" customHeight="1">
      <c r="A30" s="59"/>
      <c r="B30" s="244"/>
      <c r="C30" s="59"/>
      <c r="D30" s="59"/>
      <c r="E30" s="59"/>
      <c r="F30" s="59"/>
      <c r="G30" s="337"/>
      <c r="H30" s="209"/>
      <c r="I30" s="209"/>
      <c r="J30" s="209"/>
      <c r="K30" s="210"/>
      <c r="L30" s="210"/>
      <c r="M30" s="210"/>
      <c r="N30" s="210"/>
      <c r="O30" s="210"/>
      <c r="P30" s="210"/>
      <c r="Q30" s="210"/>
    </row>
    <row r="31" spans="1:257" ht="15" customHeight="1">
      <c r="A31" s="59"/>
      <c r="B31" s="244"/>
      <c r="C31" s="59"/>
      <c r="D31" s="59"/>
      <c r="E31" s="59"/>
      <c r="F31" s="59"/>
      <c r="G31" s="337"/>
      <c r="H31" s="209"/>
      <c r="I31" s="209"/>
      <c r="J31" s="209"/>
      <c r="K31" s="210"/>
      <c r="L31" s="210"/>
      <c r="M31" s="210"/>
      <c r="N31" s="210"/>
      <c r="O31" s="210"/>
      <c r="P31" s="210"/>
      <c r="Q31" s="210"/>
    </row>
    <row r="32" spans="1:257" ht="15" customHeight="1">
      <c r="A32" s="59"/>
      <c r="B32" s="244"/>
      <c r="C32" s="59"/>
      <c r="D32" s="59"/>
      <c r="E32" s="59"/>
      <c r="F32" s="59"/>
      <c r="G32" s="337"/>
    </row>
    <row r="33" spans="1:17" ht="15" customHeight="1">
      <c r="A33" s="59"/>
      <c r="B33" s="244"/>
      <c r="C33" s="59"/>
      <c r="D33" s="59"/>
      <c r="E33" s="59"/>
      <c r="F33" s="59"/>
      <c r="G33" s="337"/>
      <c r="H33" s="209"/>
      <c r="I33" s="209"/>
      <c r="J33" s="209"/>
      <c r="K33" s="210"/>
      <c r="L33" s="210"/>
      <c r="M33" s="210"/>
      <c r="N33" s="210"/>
      <c r="O33" s="210"/>
      <c r="P33" s="210"/>
      <c r="Q33" s="210"/>
    </row>
    <row r="34" spans="1:17" ht="15" customHeight="1">
      <c r="A34" s="59"/>
      <c r="B34" s="244"/>
      <c r="C34" s="59"/>
      <c r="D34" s="59"/>
      <c r="E34" s="59"/>
      <c r="F34" s="59"/>
      <c r="G34" s="337"/>
      <c r="H34" s="209"/>
      <c r="I34" s="209"/>
      <c r="J34" s="209"/>
      <c r="K34" s="210"/>
      <c r="L34" s="210"/>
      <c r="M34" s="210"/>
      <c r="N34" s="210"/>
      <c r="O34" s="210"/>
      <c r="P34" s="210"/>
      <c r="Q34" s="210"/>
    </row>
    <row r="35" spans="1:17" ht="15" customHeight="1">
      <c r="A35" s="59"/>
      <c r="B35" s="244"/>
      <c r="C35" s="59"/>
      <c r="D35" s="59"/>
      <c r="E35" s="59"/>
      <c r="F35" s="59"/>
      <c r="G35" s="337"/>
      <c r="H35" s="209"/>
      <c r="I35" s="209"/>
      <c r="J35" s="209"/>
      <c r="K35" s="210"/>
      <c r="L35" s="210"/>
      <c r="M35" s="210"/>
      <c r="N35" s="210"/>
      <c r="O35" s="210"/>
      <c r="P35" s="210"/>
      <c r="Q35" s="210"/>
    </row>
    <row r="36" spans="1:17" ht="15" hidden="1" customHeight="1">
      <c r="A36" s="59"/>
      <c r="B36" s="244"/>
      <c r="C36" s="59"/>
      <c r="D36" s="59"/>
      <c r="E36" s="59"/>
      <c r="F36" s="59"/>
      <c r="G36" s="337"/>
      <c r="H36" s="209"/>
      <c r="I36" s="209"/>
      <c r="J36" s="210"/>
      <c r="K36" s="210"/>
      <c r="L36" s="210"/>
      <c r="M36" s="210"/>
      <c r="N36" s="210"/>
      <c r="O36" s="210"/>
      <c r="P36" s="210"/>
      <c r="Q36" s="210"/>
    </row>
    <row r="37" spans="1:17" ht="15" hidden="1" customHeight="1">
      <c r="A37" s="59"/>
      <c r="B37" s="244"/>
      <c r="C37" s="59"/>
      <c r="D37" s="59"/>
      <c r="E37" s="59"/>
      <c r="F37" s="59"/>
      <c r="G37" s="337"/>
      <c r="H37" s="209"/>
      <c r="I37" s="209"/>
      <c r="J37" s="210"/>
      <c r="K37" s="210"/>
      <c r="L37" s="210"/>
      <c r="M37" s="210"/>
      <c r="N37" s="210"/>
      <c r="O37" s="210"/>
      <c r="P37" s="210"/>
      <c r="Q37" s="210"/>
    </row>
    <row r="38" spans="1:17" ht="15" hidden="1" customHeight="1">
      <c r="A38" s="57"/>
      <c r="B38" s="244"/>
      <c r="C38" s="57"/>
      <c r="D38" s="57"/>
      <c r="E38" s="57"/>
      <c r="F38" s="57"/>
      <c r="G38" s="337"/>
      <c r="H38" s="209"/>
      <c r="I38" s="209"/>
      <c r="J38" s="210"/>
      <c r="K38" s="210"/>
      <c r="L38" s="210"/>
      <c r="M38" s="210"/>
      <c r="N38" s="210"/>
      <c r="O38" s="210"/>
      <c r="P38" s="210"/>
      <c r="Q38" s="210"/>
    </row>
    <row r="39" spans="1:17" ht="18.5" hidden="1" customHeight="1">
      <c r="A39" s="59"/>
      <c r="B39" s="244"/>
      <c r="C39" s="59"/>
      <c r="D39" s="59"/>
      <c r="E39" s="59"/>
      <c r="F39" s="171"/>
      <c r="G39" s="337"/>
      <c r="H39" s="209"/>
      <c r="I39" s="209"/>
      <c r="J39" s="210"/>
      <c r="K39" s="210"/>
      <c r="L39" s="210"/>
      <c r="M39" s="210"/>
      <c r="N39" s="210"/>
      <c r="O39" s="210"/>
      <c r="P39" s="210"/>
      <c r="Q39" s="210"/>
    </row>
    <row r="40" spans="1:17" ht="18" hidden="1" customHeight="1">
      <c r="A40" s="59"/>
      <c r="B40" s="244"/>
      <c r="C40" s="171"/>
      <c r="D40" s="171"/>
      <c r="E40" s="226"/>
      <c r="F40" s="227"/>
      <c r="G40" s="337"/>
      <c r="H40" s="209"/>
      <c r="I40" s="209"/>
      <c r="J40" s="209"/>
      <c r="K40" s="210"/>
      <c r="L40" s="210"/>
      <c r="M40" s="210"/>
      <c r="N40" s="210"/>
      <c r="O40" s="210"/>
      <c r="P40" s="210"/>
      <c r="Q40" s="210"/>
    </row>
    <row r="41" spans="1:17" ht="18.5" hidden="1" customHeight="1">
      <c r="A41" s="59"/>
      <c r="B41" s="244"/>
      <c r="C41" s="59"/>
      <c r="D41" s="59"/>
      <c r="E41" s="59"/>
      <c r="F41" s="171"/>
      <c r="G41" s="337"/>
      <c r="H41" s="209"/>
      <c r="I41" s="209"/>
      <c r="J41" s="209"/>
      <c r="K41" s="210"/>
      <c r="L41" s="210"/>
      <c r="M41" s="210"/>
      <c r="N41" s="210"/>
      <c r="O41" s="210"/>
      <c r="P41" s="210"/>
      <c r="Q41" s="210"/>
    </row>
    <row r="42" spans="1:17" ht="18" hidden="1" customHeight="1">
      <c r="A42" s="59"/>
      <c r="B42" s="244"/>
      <c r="C42" s="59"/>
      <c r="D42" s="59"/>
      <c r="E42" s="59"/>
      <c r="F42" s="171"/>
      <c r="G42" s="337"/>
      <c r="H42" s="209"/>
      <c r="I42" s="209"/>
      <c r="J42" s="209"/>
      <c r="K42" s="210"/>
      <c r="L42" s="210"/>
      <c r="M42" s="210"/>
      <c r="N42" s="210"/>
      <c r="O42" s="210"/>
      <c r="P42" s="210"/>
      <c r="Q42" s="210"/>
    </row>
    <row r="43" spans="1:17" ht="15.5" customHeight="1">
      <c r="A43" s="171"/>
      <c r="B43" s="244"/>
      <c r="C43" s="227"/>
      <c r="D43" s="227"/>
      <c r="E43" s="227"/>
      <c r="F43" s="171"/>
      <c r="G43" s="337"/>
      <c r="H43" s="209"/>
      <c r="I43" s="209"/>
      <c r="J43" s="209"/>
      <c r="K43" s="210"/>
      <c r="L43" s="210"/>
      <c r="M43" s="210"/>
      <c r="N43" s="210"/>
      <c r="O43" s="210"/>
      <c r="P43" s="210"/>
      <c r="Q43" s="210"/>
    </row>
    <row r="44" spans="1:17" ht="14.5" customHeight="1">
      <c r="A44" s="227"/>
      <c r="B44" s="244"/>
      <c r="C44" s="227"/>
      <c r="D44" s="227"/>
      <c r="E44" s="227"/>
      <c r="F44" s="227"/>
      <c r="G44" s="337"/>
      <c r="H44" s="209"/>
      <c r="I44" s="209"/>
      <c r="J44" s="209"/>
      <c r="K44" s="210"/>
      <c r="L44" s="210"/>
      <c r="M44" s="210"/>
      <c r="N44" s="210"/>
      <c r="O44" s="210"/>
      <c r="P44" s="210"/>
      <c r="Q44" s="210"/>
    </row>
    <row r="45" spans="1:17" ht="15" customHeight="1">
      <c r="A45" s="59"/>
      <c r="B45" s="244"/>
      <c r="C45" s="59"/>
      <c r="D45" s="59"/>
      <c r="E45" s="59"/>
      <c r="F45" s="227"/>
      <c r="G45" s="337"/>
      <c r="H45" s="209"/>
      <c r="I45" s="209"/>
      <c r="J45" s="209"/>
      <c r="K45" s="210"/>
      <c r="L45" s="210"/>
      <c r="M45" s="210"/>
      <c r="N45" s="210"/>
      <c r="O45" s="210"/>
      <c r="P45" s="210"/>
      <c r="Q45" s="210"/>
    </row>
    <row r="46" spans="1:17" ht="16.25" customHeight="1">
      <c r="A46" s="59"/>
      <c r="B46" s="244"/>
      <c r="C46" s="59"/>
      <c r="D46" s="59"/>
      <c r="E46" s="59"/>
      <c r="F46" s="227"/>
      <c r="G46" s="337"/>
      <c r="H46" s="209"/>
      <c r="I46" s="209"/>
      <c r="J46" s="209"/>
      <c r="K46" s="210"/>
      <c r="L46" s="210"/>
      <c r="M46" s="210"/>
      <c r="N46" s="210"/>
      <c r="O46" s="210"/>
      <c r="P46" s="210"/>
      <c r="Q46" s="210"/>
    </row>
    <row r="47" spans="1:17" ht="16.25" customHeight="1">
      <c r="A47" s="59"/>
      <c r="B47" s="244"/>
      <c r="C47" s="59"/>
      <c r="D47" s="59"/>
      <c r="E47" s="59"/>
      <c r="F47" s="227"/>
      <c r="G47" s="337"/>
      <c r="H47" s="209"/>
      <c r="I47" s="209"/>
      <c r="J47" s="209"/>
      <c r="K47" s="210"/>
      <c r="L47" s="210"/>
      <c r="M47" s="210"/>
      <c r="N47" s="210"/>
      <c r="O47" s="210"/>
      <c r="P47" s="210"/>
      <c r="Q47" s="210"/>
    </row>
    <row r="48" spans="1:17" ht="16.25" customHeight="1">
      <c r="A48" s="59"/>
      <c r="B48" s="244"/>
      <c r="C48" s="59"/>
      <c r="D48" s="59"/>
      <c r="E48" s="59"/>
      <c r="F48" s="227"/>
      <c r="G48" s="337"/>
      <c r="H48" s="209"/>
      <c r="I48" s="209"/>
      <c r="J48" s="209"/>
      <c r="K48" s="210"/>
      <c r="L48" s="210"/>
      <c r="M48" s="210"/>
      <c r="N48" s="210"/>
      <c r="O48" s="210"/>
      <c r="P48" s="210"/>
      <c r="Q48" s="210"/>
    </row>
    <row r="49" spans="1:264" ht="16.25" customHeight="1">
      <c r="A49" s="59"/>
      <c r="B49" s="244"/>
      <c r="C49" s="59"/>
      <c r="D49" s="59"/>
      <c r="E49" s="59"/>
      <c r="F49" s="227"/>
      <c r="G49" s="337"/>
      <c r="H49" s="209"/>
      <c r="I49" s="209"/>
      <c r="J49" s="209"/>
      <c r="K49" s="210"/>
      <c r="L49" s="210"/>
      <c r="M49" s="210"/>
      <c r="N49" s="210"/>
      <c r="O49" s="210"/>
      <c r="P49" s="210"/>
      <c r="Q49" s="210"/>
    </row>
    <row r="50" spans="1:264" ht="16.25" customHeight="1">
      <c r="A50" s="59"/>
      <c r="B50" s="244"/>
      <c r="C50" s="59"/>
      <c r="D50" s="59"/>
      <c r="E50" s="59"/>
      <c r="F50" s="227"/>
      <c r="G50" s="337"/>
      <c r="H50" s="61"/>
      <c r="I50" s="219"/>
      <c r="J50" s="61"/>
      <c r="K50" s="61"/>
      <c r="L50" s="61"/>
      <c r="M50" s="61"/>
      <c r="N50" s="228"/>
      <c r="O50" s="209"/>
      <c r="P50" s="209"/>
      <c r="Q50" s="209"/>
      <c r="R50" s="210"/>
      <c r="S50" s="210"/>
      <c r="T50" s="210"/>
      <c r="U50" s="210"/>
      <c r="V50" s="210"/>
      <c r="W50" s="210"/>
      <c r="X50" s="210"/>
      <c r="IX50" s="124"/>
      <c r="IY50" s="124"/>
      <c r="IZ50" s="124"/>
      <c r="JA50" s="124"/>
      <c r="JB50" s="124"/>
      <c r="JC50" s="124"/>
      <c r="JD50" s="124"/>
    </row>
    <row r="51" spans="1:264" ht="15.5" customHeight="1">
      <c r="A51" s="171"/>
      <c r="B51" s="244"/>
      <c r="C51" s="171"/>
      <c r="D51" s="171"/>
      <c r="E51" s="171"/>
      <c r="F51" s="227"/>
      <c r="G51" s="337"/>
      <c r="H51" s="209"/>
      <c r="I51" s="209"/>
      <c r="J51" s="209"/>
      <c r="K51" s="210"/>
      <c r="L51" s="210"/>
      <c r="M51" s="210"/>
      <c r="N51" s="210"/>
      <c r="O51" s="210"/>
      <c r="P51" s="210"/>
      <c r="Q51" s="210"/>
    </row>
    <row r="52" spans="1:264" ht="15" customHeight="1">
      <c r="A52" s="171"/>
      <c r="B52" s="244"/>
      <c r="C52" s="171"/>
      <c r="D52" s="171"/>
      <c r="E52" s="171"/>
      <c r="F52" s="227"/>
      <c r="G52" s="337"/>
      <c r="H52" s="209"/>
      <c r="I52" s="209"/>
      <c r="J52" s="209"/>
      <c r="K52" s="210"/>
      <c r="L52" s="210"/>
      <c r="M52" s="210"/>
      <c r="N52" s="210"/>
      <c r="O52" s="210"/>
      <c r="P52" s="210"/>
      <c r="Q52" s="210"/>
    </row>
    <row r="53" spans="1:264" ht="15" customHeight="1">
      <c r="A53" s="56" t="s">
        <v>7</v>
      </c>
      <c r="B53" s="229"/>
      <c r="C53" s="56">
        <f>SUM(C6:C52)</f>
        <v>12</v>
      </c>
      <c r="D53" s="56">
        <f>SUM(D6:D52)</f>
        <v>10325</v>
      </c>
      <c r="E53" s="56">
        <f>SUM(E6:E52)</f>
        <v>137</v>
      </c>
      <c r="F53" s="56">
        <f t="shared" ref="F53" si="0">SUM(F6:F52)</f>
        <v>10325</v>
      </c>
      <c r="G53" s="340"/>
      <c r="H53" s="209"/>
      <c r="I53" s="209"/>
      <c r="J53" s="209"/>
      <c r="K53" s="210"/>
      <c r="L53" s="210"/>
      <c r="M53" s="210"/>
      <c r="N53" s="210"/>
      <c r="O53" s="210"/>
      <c r="P53" s="210"/>
      <c r="Q53" s="210"/>
    </row>
    <row r="54" spans="1:264" ht="15" customHeight="1">
      <c r="A54" s="221"/>
      <c r="B54" s="230"/>
      <c r="C54" s="221"/>
      <c r="D54" s="221"/>
      <c r="E54" s="221"/>
      <c r="F54" s="221"/>
      <c r="G54" s="341"/>
      <c r="H54" s="209"/>
      <c r="I54" s="209"/>
      <c r="J54" s="209"/>
      <c r="K54" s="210"/>
      <c r="L54" s="210"/>
      <c r="M54" s="210"/>
      <c r="N54" s="210"/>
      <c r="O54" s="210"/>
      <c r="P54" s="210"/>
      <c r="Q54" s="210"/>
    </row>
    <row r="55" spans="1:264" ht="15" customHeight="1">
      <c r="A55" s="222"/>
      <c r="B55" s="231"/>
      <c r="C55" s="222"/>
      <c r="D55" s="222"/>
      <c r="E55" s="222"/>
      <c r="F55" s="222"/>
      <c r="G55" s="341"/>
      <c r="H55" s="209"/>
      <c r="I55" s="209"/>
      <c r="J55" s="209"/>
      <c r="K55" s="210"/>
      <c r="L55" s="210"/>
      <c r="M55" s="210"/>
      <c r="N55" s="210"/>
      <c r="O55" s="210"/>
      <c r="P55" s="210"/>
      <c r="Q55" s="210"/>
    </row>
    <row r="56" spans="1:264" ht="15" customHeight="1">
      <c r="A56" s="222"/>
      <c r="B56" s="210"/>
      <c r="C56" s="222"/>
      <c r="D56" s="222"/>
      <c r="E56" s="222"/>
      <c r="F56" s="222"/>
      <c r="H56" s="209"/>
      <c r="I56" s="209"/>
      <c r="J56" s="209"/>
      <c r="K56" s="210"/>
      <c r="L56" s="210"/>
      <c r="M56" s="210"/>
      <c r="N56" s="210"/>
      <c r="O56" s="210"/>
      <c r="P56" s="210"/>
      <c r="Q56" s="210"/>
    </row>
    <row r="57" spans="1:264" ht="15" customHeight="1">
      <c r="A57" s="222"/>
      <c r="B57" s="210"/>
      <c r="C57" s="222"/>
      <c r="D57" s="222"/>
      <c r="E57" s="222"/>
      <c r="F57" s="222"/>
      <c r="H57" s="209"/>
      <c r="I57" s="209"/>
      <c r="J57" s="209"/>
      <c r="K57" s="210"/>
      <c r="L57" s="210"/>
      <c r="M57" s="210"/>
      <c r="N57" s="210"/>
      <c r="O57" s="210"/>
      <c r="P57" s="210"/>
      <c r="Q57" s="210"/>
    </row>
    <row r="58" spans="1:264" ht="15" customHeight="1">
      <c r="A58" s="222"/>
      <c r="B58" s="210"/>
      <c r="C58" s="222"/>
      <c r="D58" s="222"/>
      <c r="E58" s="222"/>
      <c r="F58" s="222"/>
      <c r="H58" s="209"/>
      <c r="I58" s="209"/>
      <c r="J58" s="209"/>
      <c r="K58" s="210"/>
      <c r="L58" s="210"/>
      <c r="M58" s="210"/>
      <c r="N58" s="210"/>
      <c r="O58" s="210"/>
      <c r="P58" s="210"/>
      <c r="Q58" s="210"/>
    </row>
    <row r="59" spans="1:264" ht="15" customHeight="1">
      <c r="A59" s="222"/>
      <c r="B59" s="210"/>
      <c r="C59" s="222"/>
      <c r="D59" s="222"/>
      <c r="E59" s="222"/>
      <c r="F59" s="222"/>
      <c r="H59" s="209"/>
      <c r="I59" s="209"/>
      <c r="J59" s="209"/>
      <c r="K59" s="210"/>
      <c r="L59" s="210"/>
      <c r="M59" s="210"/>
      <c r="N59" s="210"/>
      <c r="O59" s="210"/>
      <c r="P59" s="210"/>
      <c r="Q59" s="210"/>
    </row>
    <row r="60" spans="1:264" ht="15" customHeight="1">
      <c r="A60" s="222"/>
      <c r="B60" s="210"/>
      <c r="C60" s="222"/>
      <c r="D60" s="222"/>
      <c r="E60" s="222"/>
      <c r="F60" s="222"/>
      <c r="H60" s="209"/>
      <c r="I60" s="209"/>
      <c r="J60" s="209"/>
      <c r="K60" s="210"/>
      <c r="L60" s="210"/>
      <c r="M60" s="210"/>
      <c r="N60" s="210"/>
      <c r="O60" s="210"/>
      <c r="P60" s="210"/>
      <c r="Q60" s="210"/>
    </row>
    <row r="61" spans="1:264" ht="15" customHeight="1">
      <c r="A61" s="61"/>
      <c r="B61" s="210"/>
      <c r="C61" s="61"/>
      <c r="D61" s="61"/>
      <c r="E61" s="61"/>
      <c r="F61" s="221"/>
      <c r="H61" s="209"/>
      <c r="I61" s="209"/>
      <c r="J61" s="209"/>
      <c r="K61" s="210"/>
      <c r="L61" s="210"/>
      <c r="M61" s="210"/>
      <c r="N61" s="210"/>
      <c r="O61" s="210"/>
      <c r="P61" s="210"/>
      <c r="Q61" s="210"/>
    </row>
    <row r="62" spans="1:264" ht="15" customHeight="1">
      <c r="A62" s="61"/>
      <c r="B62" s="219"/>
      <c r="C62" s="61"/>
      <c r="D62" s="61"/>
      <c r="E62" s="61"/>
      <c r="F62" s="221"/>
      <c r="G62" s="341"/>
      <c r="H62" s="209"/>
      <c r="I62" s="209"/>
      <c r="J62" s="209"/>
      <c r="K62" s="210"/>
      <c r="L62" s="210"/>
      <c r="M62" s="210"/>
      <c r="N62" s="210"/>
      <c r="O62" s="210"/>
      <c r="P62" s="210"/>
      <c r="Q62" s="210"/>
    </row>
    <row r="63" spans="1:264" ht="15" customHeight="1">
      <c r="A63" s="61"/>
      <c r="B63" s="219"/>
      <c r="C63" s="61"/>
      <c r="D63" s="61"/>
      <c r="E63" s="61"/>
      <c r="F63" s="221"/>
      <c r="G63" s="341"/>
      <c r="H63" s="209"/>
      <c r="I63" s="209"/>
      <c r="J63" s="209"/>
      <c r="K63" s="210"/>
      <c r="L63" s="210"/>
      <c r="M63" s="210"/>
      <c r="N63" s="210"/>
      <c r="O63" s="210"/>
      <c r="P63" s="210"/>
      <c r="Q63" s="210"/>
    </row>
    <row r="64" spans="1:264" ht="15" customHeight="1">
      <c r="A64" s="61"/>
      <c r="B64" s="219"/>
      <c r="C64" s="61"/>
      <c r="D64" s="61"/>
      <c r="E64" s="61"/>
      <c r="F64" s="221"/>
      <c r="G64" s="341"/>
      <c r="H64" s="209"/>
      <c r="I64" s="209"/>
      <c r="J64" s="209"/>
      <c r="K64" s="210"/>
      <c r="L64" s="210"/>
      <c r="M64" s="210"/>
      <c r="N64" s="210"/>
      <c r="O64" s="210"/>
      <c r="P64" s="210"/>
      <c r="Q64" s="210"/>
    </row>
    <row r="65" spans="1:17" ht="15" customHeight="1">
      <c r="A65" s="61"/>
      <c r="B65" s="219"/>
      <c r="C65" s="61"/>
      <c r="D65" s="61"/>
      <c r="E65" s="61"/>
      <c r="F65" s="221"/>
      <c r="G65" s="341"/>
      <c r="H65" s="209"/>
      <c r="I65" s="209"/>
      <c r="J65" s="232"/>
      <c r="K65" s="210"/>
      <c r="L65" s="210"/>
      <c r="M65" s="210"/>
      <c r="N65" s="210"/>
      <c r="O65" s="210"/>
      <c r="P65" s="210"/>
      <c r="Q65" s="210"/>
    </row>
    <row r="66" spans="1:17" ht="15" customHeight="1">
      <c r="A66" s="61"/>
      <c r="B66" s="219"/>
      <c r="C66" s="61"/>
      <c r="D66" s="61"/>
      <c r="E66" s="61"/>
      <c r="F66" s="221"/>
      <c r="G66" s="341"/>
      <c r="H66" s="209"/>
      <c r="I66" s="209"/>
      <c r="J66" s="209"/>
      <c r="K66" s="210"/>
      <c r="L66" s="210"/>
      <c r="M66" s="210"/>
      <c r="N66" s="210"/>
      <c r="O66" s="210"/>
      <c r="P66" s="210"/>
      <c r="Q66" s="210"/>
    </row>
    <row r="67" spans="1:17" ht="15" customHeight="1">
      <c r="A67" s="61"/>
      <c r="B67" s="219"/>
      <c r="C67" s="61"/>
      <c r="D67" s="61"/>
      <c r="E67" s="61"/>
      <c r="F67" s="221"/>
      <c r="G67" s="341"/>
      <c r="H67" s="209"/>
      <c r="I67" s="209"/>
      <c r="J67" s="209"/>
      <c r="K67" s="210"/>
      <c r="L67" s="210"/>
      <c r="M67" s="210"/>
      <c r="N67" s="210"/>
      <c r="O67" s="210"/>
      <c r="P67" s="210"/>
      <c r="Q67" s="210"/>
    </row>
    <row r="68" spans="1:17" ht="15" customHeight="1">
      <c r="A68" s="61"/>
      <c r="B68" s="219"/>
      <c r="C68" s="61"/>
      <c r="D68" s="61"/>
      <c r="E68" s="61"/>
      <c r="F68" s="221"/>
      <c r="G68" s="341"/>
      <c r="H68" s="209"/>
      <c r="I68" s="209"/>
      <c r="J68" s="209"/>
      <c r="K68" s="210"/>
      <c r="L68" s="210"/>
      <c r="M68" s="210"/>
      <c r="N68" s="210"/>
      <c r="O68" s="210"/>
      <c r="P68" s="210"/>
      <c r="Q68" s="210"/>
    </row>
    <row r="69" spans="1:17" ht="15" customHeight="1">
      <c r="A69" s="221"/>
      <c r="B69" s="233"/>
      <c r="C69" s="221"/>
      <c r="D69" s="221"/>
      <c r="E69" s="221"/>
      <c r="F69" s="221"/>
      <c r="G69" s="341"/>
      <c r="H69" s="209"/>
      <c r="I69" s="209"/>
      <c r="J69" s="209"/>
      <c r="K69" s="210"/>
      <c r="L69" s="210"/>
      <c r="M69" s="210"/>
      <c r="N69" s="210"/>
      <c r="O69" s="210"/>
      <c r="P69" s="210"/>
      <c r="Q69" s="210"/>
    </row>
    <row r="70" spans="1:17" ht="15" customHeight="1">
      <c r="A70" s="221"/>
      <c r="B70" s="233"/>
      <c r="C70" s="221"/>
      <c r="D70" s="221"/>
      <c r="E70" s="221"/>
      <c r="F70" s="221"/>
      <c r="G70" s="341"/>
      <c r="H70" s="209"/>
      <c r="I70" s="209"/>
      <c r="J70" s="209"/>
      <c r="K70" s="210"/>
      <c r="L70" s="210"/>
      <c r="M70" s="210"/>
      <c r="N70" s="210"/>
      <c r="O70" s="210"/>
      <c r="P70" s="210"/>
      <c r="Q70" s="210"/>
    </row>
    <row r="71" spans="1:17" ht="15" customHeight="1">
      <c r="A71" s="61"/>
      <c r="B71" s="219"/>
      <c r="C71" s="61"/>
      <c r="D71" s="61"/>
      <c r="E71" s="61"/>
      <c r="F71" s="221"/>
      <c r="G71" s="341"/>
      <c r="H71" s="209"/>
      <c r="I71" s="209"/>
      <c r="J71" s="209"/>
      <c r="K71" s="210"/>
      <c r="L71" s="210"/>
      <c r="M71" s="210"/>
      <c r="N71" s="210"/>
      <c r="O71" s="210"/>
      <c r="P71" s="210"/>
      <c r="Q71" s="210"/>
    </row>
    <row r="72" spans="1:17" ht="15" customHeight="1">
      <c r="A72" s="61"/>
      <c r="B72" s="219"/>
      <c r="C72" s="61"/>
      <c r="D72" s="61"/>
      <c r="E72" s="61"/>
      <c r="F72" s="221"/>
      <c r="G72" s="341"/>
      <c r="H72" s="209"/>
      <c r="I72" s="209"/>
      <c r="J72" s="209"/>
      <c r="K72" s="210"/>
      <c r="L72" s="210"/>
      <c r="M72" s="210"/>
      <c r="N72" s="210"/>
      <c r="O72" s="210"/>
      <c r="P72" s="210"/>
      <c r="Q72" s="210"/>
    </row>
    <row r="73" spans="1:17" ht="15" customHeight="1">
      <c r="A73" s="61"/>
      <c r="B73" s="219"/>
      <c r="C73" s="61"/>
      <c r="D73" s="61"/>
      <c r="E73" s="61"/>
      <c r="F73" s="221"/>
      <c r="G73" s="341"/>
      <c r="H73" s="209"/>
      <c r="I73" s="209"/>
      <c r="J73" s="209"/>
      <c r="K73" s="210"/>
      <c r="L73" s="210"/>
      <c r="M73" s="210"/>
      <c r="N73" s="210"/>
      <c r="O73" s="210"/>
      <c r="P73" s="210"/>
      <c r="Q73" s="210"/>
    </row>
    <row r="74" spans="1:17" ht="15" customHeight="1">
      <c r="A74" s="61"/>
      <c r="B74" s="219"/>
      <c r="C74" s="61"/>
      <c r="D74" s="61"/>
      <c r="E74" s="61"/>
      <c r="F74" s="221"/>
      <c r="G74" s="341"/>
      <c r="H74" s="209"/>
      <c r="I74" s="209"/>
      <c r="J74" s="209"/>
      <c r="K74" s="210"/>
      <c r="L74" s="210"/>
      <c r="M74" s="210"/>
      <c r="N74" s="210"/>
      <c r="O74" s="210"/>
      <c r="P74" s="210"/>
      <c r="Q74" s="210"/>
    </row>
    <row r="75" spans="1:17" ht="15" customHeight="1">
      <c r="A75" s="61"/>
      <c r="B75" s="219"/>
      <c r="C75" s="61"/>
      <c r="D75" s="61"/>
      <c r="E75" s="61"/>
      <c r="F75" s="221"/>
      <c r="G75" s="341"/>
      <c r="H75" s="209"/>
      <c r="I75" s="209"/>
      <c r="J75" s="209"/>
      <c r="K75" s="210"/>
      <c r="L75" s="210"/>
      <c r="M75" s="210"/>
      <c r="N75" s="210"/>
      <c r="O75" s="210"/>
      <c r="P75" s="210"/>
      <c r="Q75" s="210"/>
    </row>
    <row r="76" spans="1:17" ht="15" customHeight="1">
      <c r="A76" s="61"/>
      <c r="B76" s="219"/>
      <c r="C76" s="61"/>
      <c r="D76" s="61"/>
      <c r="E76" s="61"/>
      <c r="F76" s="221"/>
      <c r="G76" s="341"/>
      <c r="H76" s="209"/>
      <c r="I76" s="209"/>
      <c r="J76" s="209"/>
      <c r="K76" s="210"/>
      <c r="L76" s="210"/>
      <c r="M76" s="210"/>
      <c r="N76" s="210"/>
      <c r="O76" s="210"/>
      <c r="P76" s="210"/>
      <c r="Q76" s="210"/>
    </row>
    <row r="77" spans="1:17" ht="15" customHeight="1">
      <c r="A77" s="222"/>
      <c r="B77" s="231"/>
      <c r="C77" s="222"/>
      <c r="D77" s="222"/>
      <c r="E77" s="222"/>
      <c r="F77" s="222"/>
      <c r="G77" s="341"/>
      <c r="H77" s="209"/>
      <c r="I77" s="209"/>
      <c r="J77" s="209"/>
      <c r="K77" s="210"/>
      <c r="L77" s="210"/>
      <c r="M77" s="210"/>
      <c r="N77" s="210"/>
      <c r="O77" s="210"/>
      <c r="P77" s="210"/>
      <c r="Q77" s="210"/>
    </row>
    <row r="78" spans="1:17" ht="15" customHeight="1">
      <c r="A78" s="222"/>
      <c r="B78" s="231"/>
      <c r="C78" s="222"/>
      <c r="D78" s="222"/>
      <c r="E78" s="222"/>
      <c r="F78" s="222"/>
      <c r="G78" s="341"/>
      <c r="H78" s="209"/>
      <c r="I78" s="209"/>
      <c r="J78" s="209"/>
      <c r="K78" s="210"/>
      <c r="L78" s="210"/>
      <c r="M78" s="210"/>
      <c r="N78" s="210"/>
      <c r="O78" s="210"/>
      <c r="P78" s="210"/>
      <c r="Q78" s="210"/>
    </row>
    <row r="79" spans="1:17" ht="15" customHeight="1">
      <c r="A79" s="222"/>
      <c r="B79" s="231"/>
      <c r="C79" s="222"/>
      <c r="D79" s="222"/>
      <c r="E79" s="222"/>
      <c r="F79" s="222"/>
      <c r="G79" s="341"/>
      <c r="H79" s="209"/>
      <c r="I79" s="209"/>
      <c r="J79" s="209"/>
      <c r="K79" s="210"/>
      <c r="L79" s="210"/>
      <c r="M79" s="210"/>
      <c r="N79" s="210"/>
      <c r="O79" s="210"/>
      <c r="P79" s="210"/>
      <c r="Q79" s="210"/>
    </row>
    <row r="80" spans="1:17" ht="15" hidden="1" customHeight="1">
      <c r="A80" s="222"/>
      <c r="B80" s="231"/>
      <c r="C80" s="222"/>
      <c r="D80" s="222"/>
      <c r="E80" s="222"/>
      <c r="F80" s="222"/>
      <c r="G80" s="341"/>
      <c r="H80" s="209"/>
      <c r="I80" s="209"/>
      <c r="J80" s="209"/>
      <c r="K80" s="210"/>
      <c r="L80" s="210"/>
      <c r="M80" s="210"/>
      <c r="N80" s="210"/>
      <c r="O80" s="210"/>
      <c r="P80" s="210"/>
      <c r="Q80" s="210"/>
    </row>
    <row r="81" spans="1:17" ht="15" hidden="1" customHeight="1">
      <c r="A81" s="222"/>
      <c r="B81" s="231"/>
      <c r="C81" s="222"/>
      <c r="D81" s="222"/>
      <c r="E81" s="222"/>
      <c r="F81" s="222"/>
      <c r="G81" s="341"/>
      <c r="H81" s="209"/>
      <c r="I81" s="209"/>
      <c r="J81" s="209"/>
      <c r="K81" s="210"/>
      <c r="L81" s="210"/>
      <c r="M81" s="210"/>
      <c r="N81" s="210"/>
      <c r="O81" s="210"/>
      <c r="P81" s="210"/>
      <c r="Q81" s="210"/>
    </row>
    <row r="82" spans="1:17" ht="15" customHeight="1">
      <c r="A82" s="222"/>
      <c r="B82" s="231"/>
      <c r="C82" s="222"/>
      <c r="D82" s="222"/>
      <c r="E82" s="222"/>
      <c r="F82" s="222"/>
      <c r="G82" s="341"/>
      <c r="H82" s="209"/>
      <c r="I82" s="209"/>
      <c r="J82" s="209"/>
      <c r="K82" s="210"/>
      <c r="L82" s="210"/>
      <c r="M82" s="210"/>
      <c r="N82" s="210"/>
      <c r="O82" s="210"/>
      <c r="P82" s="210"/>
      <c r="Q82" s="210"/>
    </row>
    <row r="83" spans="1:17" ht="15" customHeight="1">
      <c r="A83" s="222"/>
      <c r="B83" s="231"/>
      <c r="C83" s="222"/>
      <c r="D83" s="222"/>
      <c r="E83" s="222"/>
      <c r="F83" s="222"/>
      <c r="G83" s="341"/>
      <c r="H83" s="209"/>
      <c r="I83" s="209"/>
      <c r="J83" s="209"/>
      <c r="K83" s="210"/>
      <c r="L83" s="210"/>
      <c r="M83" s="210"/>
      <c r="N83" s="210"/>
      <c r="O83" s="210"/>
      <c r="P83" s="210"/>
      <c r="Q83" s="210"/>
    </row>
    <row r="84" spans="1:17" ht="15" customHeight="1">
      <c r="A84" s="222"/>
      <c r="B84" s="231"/>
      <c r="C84" s="222"/>
      <c r="D84" s="222"/>
      <c r="E84" s="222"/>
      <c r="F84" s="222"/>
      <c r="G84" s="341"/>
      <c r="H84" s="209"/>
      <c r="I84" s="209"/>
      <c r="J84" s="209"/>
      <c r="K84" s="210"/>
      <c r="L84" s="210"/>
      <c r="M84" s="210"/>
      <c r="N84" s="210"/>
      <c r="O84" s="210"/>
      <c r="P84" s="210"/>
      <c r="Q84" s="210"/>
    </row>
    <row r="85" spans="1:17" ht="15" customHeight="1">
      <c r="A85" s="222"/>
      <c r="B85" s="231"/>
      <c r="C85" s="222"/>
      <c r="D85" s="222"/>
      <c r="E85" s="222"/>
      <c r="F85" s="222"/>
      <c r="G85" s="341"/>
      <c r="H85" s="209"/>
      <c r="I85" s="209"/>
      <c r="J85" s="209"/>
      <c r="K85" s="210"/>
      <c r="L85" s="210"/>
      <c r="M85" s="210"/>
      <c r="N85" s="210"/>
      <c r="O85" s="210"/>
      <c r="P85" s="210"/>
      <c r="Q85" s="210"/>
    </row>
    <row r="86" spans="1:17" ht="15" customHeight="1">
      <c r="A86" s="222"/>
      <c r="B86" s="231"/>
      <c r="C86" s="222"/>
      <c r="D86" s="222"/>
      <c r="E86" s="222"/>
      <c r="F86" s="222"/>
      <c r="G86" s="341"/>
      <c r="H86" s="209"/>
      <c r="I86" s="209"/>
      <c r="J86" s="209"/>
      <c r="K86" s="210"/>
      <c r="L86" s="210"/>
      <c r="M86" s="210"/>
      <c r="N86" s="210"/>
      <c r="O86" s="210"/>
      <c r="P86" s="210"/>
      <c r="Q86" s="210"/>
    </row>
    <row r="87" spans="1:17" ht="15" customHeight="1">
      <c r="A87" s="222"/>
      <c r="B87" s="231"/>
      <c r="C87" s="222"/>
      <c r="D87" s="222"/>
      <c r="E87" s="222"/>
      <c r="F87" s="222"/>
      <c r="G87" s="341"/>
      <c r="H87" s="209"/>
      <c r="I87" s="209"/>
      <c r="J87" s="209"/>
      <c r="K87" s="210"/>
      <c r="L87" s="210"/>
      <c r="M87" s="210"/>
      <c r="N87" s="210"/>
      <c r="O87" s="210"/>
      <c r="P87" s="210"/>
      <c r="Q87" s="210"/>
    </row>
    <row r="88" spans="1:17" ht="15" customHeight="1">
      <c r="A88" s="222"/>
      <c r="B88" s="231"/>
      <c r="C88" s="222"/>
      <c r="D88" s="222"/>
      <c r="E88" s="222"/>
      <c r="F88" s="222"/>
      <c r="G88" s="341"/>
      <c r="H88" s="209"/>
      <c r="I88" s="209"/>
      <c r="J88" s="209"/>
      <c r="K88" s="210"/>
      <c r="L88" s="210"/>
      <c r="M88" s="210"/>
      <c r="N88" s="210"/>
      <c r="O88" s="210"/>
      <c r="P88" s="210"/>
      <c r="Q88" s="210"/>
    </row>
    <row r="89" spans="1:17" ht="15" customHeight="1">
      <c r="A89" s="61"/>
      <c r="B89" s="219"/>
      <c r="C89" s="61"/>
      <c r="D89" s="61"/>
      <c r="E89" s="61"/>
      <c r="F89" s="221"/>
      <c r="G89" s="341"/>
      <c r="H89" s="209"/>
      <c r="I89" s="209"/>
      <c r="J89" s="209"/>
      <c r="K89" s="210"/>
      <c r="L89" s="210"/>
      <c r="M89" s="210"/>
      <c r="N89" s="210"/>
      <c r="O89" s="210"/>
      <c r="P89" s="210"/>
      <c r="Q89" s="210"/>
    </row>
    <row r="90" spans="1:17" ht="15" customHeight="1">
      <c r="A90" s="222"/>
      <c r="B90" s="231"/>
      <c r="C90" s="221"/>
      <c r="D90" s="221"/>
      <c r="E90" s="221"/>
      <c r="F90" s="221"/>
      <c r="G90" s="341"/>
      <c r="H90" s="209"/>
      <c r="I90" s="209"/>
      <c r="J90" s="209"/>
      <c r="K90" s="210"/>
      <c r="L90" s="210"/>
      <c r="M90" s="210"/>
      <c r="N90" s="210"/>
      <c r="O90" s="210"/>
      <c r="P90" s="210"/>
      <c r="Q90" s="210"/>
    </row>
    <row r="91" spans="1:17" ht="15" customHeight="1">
      <c r="A91" s="222"/>
      <c r="B91" s="231"/>
      <c r="C91" s="221"/>
      <c r="D91" s="221"/>
      <c r="E91" s="221"/>
      <c r="F91" s="221"/>
      <c r="G91" s="341"/>
      <c r="H91" s="209"/>
      <c r="I91" s="209"/>
      <c r="J91" s="209"/>
      <c r="K91" s="210"/>
      <c r="L91" s="210"/>
      <c r="M91" s="210"/>
      <c r="N91" s="210"/>
      <c r="O91" s="210"/>
      <c r="P91" s="210"/>
      <c r="Q91" s="210"/>
    </row>
    <row r="92" spans="1:17" ht="15" customHeight="1">
      <c r="A92" s="222"/>
      <c r="B92" s="231"/>
      <c r="C92" s="221"/>
      <c r="D92" s="221"/>
      <c r="E92" s="221"/>
      <c r="F92" s="221"/>
      <c r="G92" s="341"/>
      <c r="H92" s="209"/>
      <c r="I92" s="209"/>
      <c r="J92" s="209"/>
      <c r="K92" s="210"/>
      <c r="L92" s="210"/>
      <c r="M92" s="210"/>
      <c r="N92" s="210"/>
      <c r="O92" s="210"/>
      <c r="P92" s="210"/>
      <c r="Q92" s="210"/>
    </row>
    <row r="93" spans="1:17" ht="15" customHeight="1">
      <c r="A93" s="222"/>
      <c r="B93" s="231"/>
      <c r="C93" s="221"/>
      <c r="D93" s="221"/>
      <c r="E93" s="221"/>
      <c r="F93" s="221"/>
      <c r="G93" s="341"/>
      <c r="H93" s="209"/>
      <c r="I93" s="209"/>
      <c r="J93" s="209"/>
      <c r="K93" s="210"/>
      <c r="L93" s="210"/>
      <c r="M93" s="210"/>
      <c r="N93" s="210"/>
      <c r="O93" s="210"/>
      <c r="P93" s="210"/>
      <c r="Q93" s="210"/>
    </row>
    <row r="94" spans="1:17" ht="15" customHeight="1">
      <c r="A94" s="222"/>
      <c r="B94" s="231"/>
      <c r="C94" s="221"/>
      <c r="D94" s="221"/>
      <c r="E94" s="221"/>
      <c r="F94" s="221"/>
      <c r="G94" s="341"/>
      <c r="H94" s="209"/>
      <c r="I94" s="209"/>
      <c r="J94" s="209"/>
      <c r="K94" s="210"/>
      <c r="L94" s="210"/>
      <c r="M94" s="210"/>
      <c r="N94" s="210"/>
      <c r="O94" s="210"/>
      <c r="P94" s="210"/>
      <c r="Q94" s="210"/>
    </row>
    <row r="95" spans="1:17" ht="15" customHeight="1">
      <c r="A95" s="222"/>
      <c r="B95" s="231"/>
      <c r="C95" s="221"/>
      <c r="D95" s="221"/>
      <c r="E95" s="221"/>
      <c r="F95" s="221"/>
      <c r="G95" s="341"/>
      <c r="H95" s="209"/>
      <c r="I95" s="209"/>
      <c r="J95" s="209"/>
      <c r="K95" s="210"/>
      <c r="L95" s="210"/>
      <c r="M95" s="210"/>
      <c r="N95" s="210"/>
      <c r="O95" s="210"/>
      <c r="P95" s="210"/>
      <c r="Q95" s="210"/>
    </row>
    <row r="96" spans="1:17" ht="15" customHeight="1">
      <c r="A96" s="222"/>
      <c r="B96" s="231"/>
      <c r="C96" s="221"/>
      <c r="D96" s="221"/>
      <c r="E96" s="221"/>
      <c r="F96" s="221"/>
      <c r="G96" s="341"/>
      <c r="H96" s="209"/>
      <c r="I96" s="209"/>
      <c r="J96" s="209"/>
      <c r="K96" s="210"/>
      <c r="L96" s="210"/>
      <c r="M96" s="210"/>
      <c r="N96" s="210"/>
      <c r="O96" s="210"/>
      <c r="P96" s="210"/>
      <c r="Q96" s="210"/>
    </row>
    <row r="97" spans="1:17" ht="15" customHeight="1">
      <c r="A97" s="222"/>
      <c r="B97" s="231"/>
      <c r="C97" s="221"/>
      <c r="D97" s="221"/>
      <c r="E97" s="221"/>
      <c r="F97" s="221"/>
      <c r="G97" s="341"/>
      <c r="H97" s="209"/>
      <c r="I97" s="209"/>
      <c r="J97" s="209"/>
      <c r="K97" s="210"/>
      <c r="L97" s="210"/>
      <c r="M97" s="210"/>
      <c r="N97" s="210"/>
      <c r="O97" s="210"/>
      <c r="P97" s="210"/>
      <c r="Q97" s="210"/>
    </row>
    <row r="98" spans="1:17" ht="15" customHeight="1">
      <c r="A98" s="222"/>
      <c r="B98" s="231"/>
      <c r="C98" s="221"/>
      <c r="D98" s="221"/>
      <c r="E98" s="221"/>
      <c r="F98" s="221"/>
      <c r="G98" s="341"/>
      <c r="H98" s="209"/>
      <c r="I98" s="209"/>
      <c r="J98" s="209"/>
      <c r="K98" s="210"/>
      <c r="L98" s="210"/>
      <c r="M98" s="210"/>
      <c r="N98" s="210"/>
      <c r="O98" s="210"/>
      <c r="P98" s="210"/>
      <c r="Q98" s="210"/>
    </row>
    <row r="99" spans="1:17" ht="15" customHeight="1">
      <c r="A99" s="222"/>
      <c r="B99" s="231"/>
      <c r="C99" s="221"/>
      <c r="D99" s="221"/>
      <c r="E99" s="221"/>
      <c r="F99" s="221"/>
      <c r="G99" s="341"/>
      <c r="H99" s="209"/>
      <c r="I99" s="209"/>
      <c r="J99" s="209"/>
      <c r="K99" s="210"/>
      <c r="L99" s="210"/>
      <c r="M99" s="210"/>
      <c r="N99" s="210"/>
      <c r="O99" s="210"/>
      <c r="P99" s="210"/>
      <c r="Q99" s="210"/>
    </row>
    <row r="100" spans="1:17" ht="15" customHeight="1">
      <c r="A100" s="222"/>
      <c r="B100" s="231"/>
      <c r="C100" s="221"/>
      <c r="D100" s="221"/>
      <c r="E100" s="221"/>
      <c r="F100" s="221"/>
      <c r="G100" s="341"/>
      <c r="H100" s="209"/>
      <c r="I100" s="209"/>
      <c r="J100" s="209"/>
      <c r="K100" s="210"/>
      <c r="L100" s="210"/>
      <c r="M100" s="210"/>
      <c r="N100" s="210"/>
      <c r="O100" s="210"/>
      <c r="P100" s="210"/>
      <c r="Q100" s="210"/>
    </row>
    <row r="101" spans="1:17" ht="15" customHeight="1">
      <c r="A101" s="222"/>
      <c r="B101" s="231"/>
      <c r="C101" s="221"/>
      <c r="D101" s="221"/>
      <c r="E101" s="221"/>
      <c r="F101" s="221"/>
      <c r="G101" s="341"/>
      <c r="H101" s="209"/>
      <c r="I101" s="209"/>
      <c r="J101" s="209"/>
      <c r="K101" s="210"/>
      <c r="L101" s="210"/>
      <c r="M101" s="210"/>
      <c r="N101" s="210"/>
      <c r="O101" s="210"/>
      <c r="P101" s="210"/>
      <c r="Q101" s="210"/>
    </row>
    <row r="102" spans="1:17" ht="15" customHeight="1">
      <c r="A102" s="222"/>
      <c r="B102" s="231"/>
      <c r="C102" s="222"/>
      <c r="D102" s="222"/>
      <c r="E102" s="222"/>
      <c r="F102" s="222"/>
      <c r="G102" s="341"/>
      <c r="H102" s="209"/>
      <c r="I102" s="209"/>
      <c r="J102" s="209"/>
      <c r="K102" s="210"/>
      <c r="L102" s="210"/>
      <c r="M102" s="210"/>
      <c r="N102" s="210"/>
      <c r="O102" s="210"/>
      <c r="P102" s="210"/>
      <c r="Q102" s="210"/>
    </row>
    <row r="103" spans="1:17" ht="15" customHeight="1">
      <c r="A103" s="61"/>
      <c r="B103" s="219"/>
      <c r="C103" s="61"/>
      <c r="D103" s="61"/>
      <c r="E103" s="61"/>
      <c r="F103" s="222"/>
      <c r="G103" s="341"/>
      <c r="H103" s="209"/>
      <c r="I103" s="209"/>
      <c r="J103" s="209"/>
      <c r="K103" s="210"/>
      <c r="L103" s="210"/>
      <c r="M103" s="210"/>
      <c r="N103" s="210"/>
      <c r="O103" s="210"/>
      <c r="P103" s="210"/>
      <c r="Q103" s="210"/>
    </row>
    <row r="104" spans="1:17" ht="15" customHeight="1">
      <c r="A104" s="61"/>
      <c r="B104" s="219"/>
      <c r="C104" s="61"/>
      <c r="D104" s="61"/>
      <c r="E104" s="61"/>
      <c r="F104" s="221"/>
      <c r="G104" s="341"/>
      <c r="H104" s="209"/>
      <c r="I104" s="209"/>
      <c r="J104" s="209"/>
      <c r="K104" s="210"/>
      <c r="L104" s="210"/>
      <c r="M104" s="210"/>
      <c r="N104" s="210"/>
      <c r="O104" s="210"/>
      <c r="P104" s="210"/>
      <c r="Q104" s="210"/>
    </row>
    <row r="105" spans="1:17" ht="15" customHeight="1">
      <c r="A105" s="61"/>
      <c r="B105" s="219"/>
      <c r="C105" s="61"/>
      <c r="D105" s="63"/>
      <c r="E105" s="63"/>
      <c r="F105" s="221"/>
      <c r="G105" s="341"/>
      <c r="H105" s="209"/>
      <c r="I105" s="209"/>
      <c r="J105" s="209"/>
      <c r="K105" s="210"/>
      <c r="L105" s="210"/>
      <c r="M105" s="210"/>
      <c r="N105" s="210"/>
      <c r="O105" s="210"/>
      <c r="P105" s="210"/>
      <c r="Q105" s="210"/>
    </row>
    <row r="106" spans="1:17" ht="15" customHeight="1">
      <c r="A106" s="222"/>
      <c r="B106" s="231"/>
      <c r="C106" s="222"/>
      <c r="D106" s="222"/>
      <c r="E106" s="222"/>
      <c r="F106" s="222"/>
      <c r="G106" s="341"/>
      <c r="H106" s="209"/>
      <c r="I106" s="209"/>
      <c r="J106" s="209"/>
      <c r="K106" s="210"/>
      <c r="L106" s="210"/>
      <c r="M106" s="210"/>
      <c r="N106" s="210"/>
      <c r="O106" s="210"/>
      <c r="P106" s="210"/>
      <c r="Q106" s="210"/>
    </row>
    <row r="107" spans="1:17" ht="15" customHeight="1">
      <c r="A107" s="222"/>
      <c r="B107" s="231"/>
      <c r="C107" s="222"/>
      <c r="D107" s="222"/>
      <c r="E107" s="222"/>
      <c r="F107" s="222"/>
      <c r="G107" s="341"/>
      <c r="H107" s="209"/>
      <c r="I107" s="209"/>
      <c r="J107" s="209"/>
      <c r="K107" s="210"/>
      <c r="L107" s="210"/>
      <c r="M107" s="210"/>
      <c r="N107" s="210"/>
      <c r="O107" s="210"/>
      <c r="P107" s="210"/>
      <c r="Q107" s="210"/>
    </row>
    <row r="108" spans="1:17" ht="15" customHeight="1">
      <c r="A108" s="61"/>
      <c r="B108" s="219"/>
      <c r="C108" s="61"/>
      <c r="D108" s="61"/>
      <c r="E108" s="61"/>
      <c r="F108" s="221"/>
      <c r="G108" s="341"/>
      <c r="H108" s="209"/>
      <c r="I108" s="209"/>
      <c r="J108" s="209"/>
      <c r="K108" s="210"/>
      <c r="L108" s="210"/>
      <c r="M108" s="210"/>
      <c r="N108" s="210"/>
      <c r="O108" s="210"/>
      <c r="P108" s="210"/>
      <c r="Q108" s="210"/>
    </row>
    <row r="109" spans="1:17" ht="15" customHeight="1">
      <c r="A109" s="61"/>
      <c r="B109" s="219"/>
      <c r="C109" s="61"/>
      <c r="D109" s="61"/>
      <c r="E109" s="61"/>
      <c r="F109" s="221"/>
      <c r="G109" s="341"/>
      <c r="H109" s="209"/>
      <c r="I109" s="209"/>
      <c r="J109" s="209"/>
      <c r="K109" s="210"/>
      <c r="L109" s="210"/>
      <c r="M109" s="210"/>
      <c r="N109" s="210"/>
      <c r="O109" s="210"/>
      <c r="P109" s="210"/>
      <c r="Q109" s="210"/>
    </row>
    <row r="110" spans="1:17" ht="15" customHeight="1">
      <c r="A110" s="61"/>
      <c r="B110" s="219"/>
      <c r="C110" s="61"/>
      <c r="D110" s="61"/>
      <c r="E110" s="61"/>
      <c r="F110" s="221"/>
      <c r="G110" s="341"/>
      <c r="H110" s="209"/>
      <c r="I110" s="209"/>
      <c r="J110" s="209"/>
      <c r="K110" s="210"/>
      <c r="L110" s="210"/>
      <c r="M110" s="210"/>
      <c r="N110" s="210"/>
      <c r="O110" s="210"/>
      <c r="P110" s="210"/>
      <c r="Q110" s="210"/>
    </row>
    <row r="111" spans="1:17" ht="15" hidden="1" customHeight="1">
      <c r="A111" s="61"/>
      <c r="B111" s="219"/>
      <c r="C111" s="61"/>
      <c r="D111" s="61"/>
      <c r="E111" s="61"/>
      <c r="F111" s="221"/>
      <c r="G111" s="341"/>
      <c r="H111" s="209"/>
      <c r="I111" s="209"/>
      <c r="J111" s="209"/>
      <c r="K111" s="210"/>
      <c r="L111" s="210"/>
      <c r="M111" s="210"/>
      <c r="N111" s="210"/>
      <c r="O111" s="210"/>
      <c r="P111" s="210"/>
      <c r="Q111" s="210"/>
    </row>
    <row r="112" spans="1:17" ht="15" customHeight="1">
      <c r="A112" s="61"/>
      <c r="B112" s="219"/>
      <c r="C112" s="61"/>
      <c r="D112" s="61"/>
      <c r="E112" s="61"/>
      <c r="F112" s="221"/>
      <c r="G112" s="341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</row>
    <row r="113" spans="1:17" ht="15" customHeight="1">
      <c r="A113" s="61"/>
      <c r="B113" s="219"/>
      <c r="C113" s="61"/>
      <c r="D113" s="61"/>
      <c r="E113" s="61"/>
      <c r="F113" s="221"/>
      <c r="G113" s="341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</row>
    <row r="114" spans="1:17" ht="15" customHeight="1">
      <c r="A114" s="61"/>
      <c r="B114" s="219"/>
      <c r="C114" s="61"/>
      <c r="D114" s="61"/>
      <c r="E114" s="61"/>
      <c r="F114" s="221"/>
      <c r="G114" s="341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</row>
    <row r="115" spans="1:17" ht="15" customHeight="1">
      <c r="A115" s="61"/>
      <c r="B115" s="219"/>
      <c r="C115" s="61"/>
      <c r="D115" s="61"/>
      <c r="E115" s="61"/>
      <c r="F115" s="221"/>
      <c r="G115" s="341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</row>
    <row r="116" spans="1:17" ht="15" hidden="1" customHeight="1">
      <c r="A116" s="61"/>
      <c r="B116" s="219"/>
      <c r="C116" s="61"/>
      <c r="D116" s="61"/>
      <c r="E116" s="61"/>
      <c r="F116" s="221"/>
      <c r="G116" s="341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</row>
    <row r="117" spans="1:17" ht="15" customHeight="1">
      <c r="A117" s="61"/>
      <c r="B117" s="219"/>
      <c r="C117" s="61"/>
      <c r="D117" s="61"/>
      <c r="E117" s="61"/>
      <c r="F117" s="221"/>
      <c r="G117" s="341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</row>
    <row r="118" spans="1:17" ht="15" customHeight="1">
      <c r="A118" s="61"/>
      <c r="B118" s="219"/>
      <c r="C118" s="61"/>
      <c r="D118" s="61"/>
      <c r="E118" s="61"/>
      <c r="F118" s="221"/>
      <c r="G118" s="341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</row>
    <row r="119" spans="1:17" ht="15" customHeight="1">
      <c r="A119" s="61"/>
      <c r="B119" s="219"/>
      <c r="C119" s="61"/>
      <c r="D119" s="61"/>
      <c r="E119" s="61"/>
      <c r="F119" s="221"/>
      <c r="G119" s="341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</row>
    <row r="120" spans="1:17" ht="15" customHeight="1">
      <c r="A120" s="61"/>
      <c r="B120" s="219"/>
      <c r="C120" s="61"/>
      <c r="D120" s="61"/>
      <c r="E120" s="61"/>
      <c r="F120" s="221"/>
      <c r="G120" s="341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</row>
    <row r="121" spans="1:17" ht="15" customHeight="1">
      <c r="A121" s="61"/>
      <c r="B121" s="219"/>
      <c r="C121" s="61"/>
      <c r="D121" s="61"/>
      <c r="E121" s="61"/>
      <c r="F121" s="221"/>
      <c r="G121" s="341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</row>
    <row r="122" spans="1:17" ht="15" customHeight="1">
      <c r="A122" s="61"/>
      <c r="B122" s="219"/>
      <c r="C122" s="61"/>
      <c r="D122" s="61"/>
      <c r="E122" s="61"/>
      <c r="F122" s="221"/>
      <c r="G122" s="341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</row>
    <row r="123" spans="1:17" ht="15" customHeight="1">
      <c r="A123" s="61"/>
      <c r="B123" s="219"/>
      <c r="C123" s="61"/>
      <c r="D123" s="61"/>
      <c r="E123" s="61"/>
      <c r="F123" s="221"/>
      <c r="G123" s="341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</row>
    <row r="124" spans="1:17" ht="15" customHeight="1">
      <c r="A124" s="61"/>
      <c r="B124" s="219"/>
      <c r="C124" s="61"/>
      <c r="D124" s="61"/>
      <c r="E124" s="61"/>
      <c r="F124" s="221"/>
      <c r="G124" s="341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</row>
    <row r="125" spans="1:17" ht="15" customHeight="1">
      <c r="A125" s="61"/>
      <c r="B125" s="219"/>
      <c r="C125" s="61"/>
      <c r="D125" s="61"/>
      <c r="E125" s="61"/>
      <c r="F125" s="221"/>
      <c r="G125" s="341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</row>
    <row r="126" spans="1:17" ht="15" customHeight="1">
      <c r="A126" s="61"/>
      <c r="B126" s="219"/>
      <c r="C126" s="61"/>
      <c r="D126" s="61"/>
      <c r="E126" s="61"/>
      <c r="F126" s="221"/>
      <c r="G126" s="341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</row>
    <row r="127" spans="1:17" ht="15" customHeight="1">
      <c r="A127" s="61"/>
      <c r="B127" s="219"/>
      <c r="C127" s="61"/>
      <c r="D127" s="61"/>
      <c r="E127" s="61"/>
      <c r="F127" s="221"/>
      <c r="G127" s="341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</row>
    <row r="128" spans="1:17" ht="15" customHeight="1">
      <c r="A128" s="222"/>
      <c r="B128" s="231"/>
      <c r="C128" s="222"/>
      <c r="D128" s="222"/>
      <c r="E128" s="222"/>
      <c r="F128" s="222"/>
      <c r="G128" s="341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</row>
    <row r="129" spans="1:17" ht="15" customHeight="1">
      <c r="A129" s="222"/>
      <c r="B129" s="231"/>
      <c r="C129" s="222"/>
      <c r="D129" s="222"/>
      <c r="E129" s="222"/>
      <c r="F129" s="222"/>
      <c r="G129" s="341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</row>
    <row r="130" spans="1:17" ht="15" customHeight="1">
      <c r="A130" s="222"/>
      <c r="B130" s="234"/>
      <c r="C130" s="221"/>
      <c r="D130" s="221"/>
      <c r="E130" s="221"/>
      <c r="F130" s="221"/>
      <c r="G130" s="341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</row>
    <row r="131" spans="1:17" ht="15" customHeight="1">
      <c r="A131" s="222"/>
      <c r="B131" s="234"/>
      <c r="C131" s="221"/>
      <c r="D131" s="221"/>
      <c r="E131" s="221"/>
      <c r="F131" s="221"/>
      <c r="G131" s="341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</row>
    <row r="132" spans="1:17" ht="15" customHeight="1">
      <c r="A132" s="222"/>
      <c r="B132" s="231"/>
      <c r="C132" s="222"/>
      <c r="D132" s="222"/>
      <c r="E132" s="222"/>
      <c r="F132" s="221"/>
      <c r="G132" s="341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</row>
    <row r="133" spans="1:17" ht="15" customHeight="1">
      <c r="A133" s="235"/>
      <c r="B133" s="236"/>
      <c r="C133" s="221"/>
      <c r="D133" s="221"/>
      <c r="E133" s="221"/>
      <c r="F133" s="221"/>
      <c r="G133" s="341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</row>
    <row r="134" spans="1:17" ht="15" customHeight="1">
      <c r="A134" s="222"/>
      <c r="B134" s="231"/>
      <c r="C134" s="221"/>
      <c r="D134" s="221"/>
      <c r="E134" s="221"/>
      <c r="F134" s="210"/>
      <c r="G134" s="343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</row>
    <row r="135" spans="1:17" ht="15" customHeight="1">
      <c r="A135" s="210"/>
      <c r="B135" s="237"/>
      <c r="C135" s="210"/>
      <c r="D135" s="210"/>
      <c r="E135" s="210"/>
      <c r="F135" s="210"/>
      <c r="G135" s="343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</row>
    <row r="136" spans="1:17" ht="15" customHeight="1">
      <c r="A136" s="210"/>
      <c r="B136" s="237"/>
      <c r="C136" s="210"/>
      <c r="D136" s="210"/>
      <c r="E136" s="210"/>
      <c r="F136" s="210"/>
      <c r="G136" s="343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</row>
    <row r="137" spans="1:17" ht="15" customHeight="1">
      <c r="A137" s="210"/>
      <c r="B137" s="237"/>
      <c r="C137" s="210"/>
      <c r="D137" s="210"/>
      <c r="E137" s="210"/>
      <c r="F137" s="210"/>
      <c r="G137" s="343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</row>
    <row r="138" spans="1:17" ht="15" customHeight="1">
      <c r="A138" s="210"/>
      <c r="B138" s="237"/>
      <c r="C138" s="210"/>
      <c r="D138" s="210"/>
      <c r="E138" s="210"/>
      <c r="F138" s="210"/>
      <c r="G138" s="343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</row>
    <row r="139" spans="1:17" ht="15" customHeight="1">
      <c r="A139" s="210"/>
      <c r="B139" s="237"/>
      <c r="C139" s="210"/>
      <c r="D139" s="210"/>
      <c r="E139" s="210"/>
      <c r="F139" s="210"/>
      <c r="G139" s="343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</row>
    <row r="140" spans="1:17" ht="15" customHeight="1">
      <c r="A140" s="210"/>
      <c r="B140" s="237"/>
      <c r="C140" s="210"/>
      <c r="D140" s="210"/>
      <c r="E140" s="210"/>
      <c r="F140" s="210"/>
      <c r="G140" s="343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</row>
    <row r="141" spans="1:17" ht="15" customHeight="1">
      <c r="A141" s="210"/>
      <c r="B141" s="237"/>
      <c r="C141" s="210"/>
      <c r="D141" s="210"/>
      <c r="E141" s="210"/>
      <c r="F141" s="210"/>
      <c r="G141" s="343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</row>
    <row r="142" spans="1:17" ht="15" customHeight="1">
      <c r="A142" s="210"/>
      <c r="B142" s="237"/>
      <c r="C142" s="210"/>
      <c r="D142" s="210"/>
      <c r="E142" s="210"/>
      <c r="F142" s="210"/>
      <c r="G142" s="343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</row>
    <row r="143" spans="1:17" ht="15" customHeight="1">
      <c r="A143" s="210"/>
      <c r="B143" s="237"/>
      <c r="C143" s="210"/>
      <c r="D143" s="210"/>
      <c r="E143" s="210"/>
      <c r="F143" s="210"/>
      <c r="G143" s="343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</row>
    <row r="144" spans="1:17" ht="15" customHeight="1">
      <c r="A144" s="210"/>
      <c r="B144" s="237"/>
      <c r="C144" s="210"/>
      <c r="D144" s="210"/>
      <c r="E144" s="210"/>
      <c r="F144" s="210"/>
      <c r="G144" s="343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</row>
    <row r="145" spans="1:17" ht="15" customHeight="1">
      <c r="A145" s="210"/>
      <c r="B145" s="237"/>
      <c r="C145" s="210"/>
      <c r="D145" s="210"/>
      <c r="E145" s="210"/>
      <c r="F145" s="210"/>
      <c r="G145" s="343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</row>
    <row r="146" spans="1:17" ht="15" customHeight="1">
      <c r="A146" s="210"/>
      <c r="B146" s="237"/>
      <c r="C146" s="210"/>
      <c r="D146" s="210"/>
      <c r="E146" s="210"/>
      <c r="F146" s="210"/>
      <c r="G146" s="343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</row>
    <row r="147" spans="1:17" ht="15" customHeight="1">
      <c r="A147" s="210"/>
      <c r="B147" s="237"/>
      <c r="C147" s="210"/>
      <c r="D147" s="210"/>
      <c r="E147" s="210"/>
      <c r="F147" s="210"/>
      <c r="G147" s="343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</row>
    <row r="148" spans="1:17" ht="15" customHeight="1">
      <c r="A148" s="210"/>
      <c r="B148" s="237"/>
      <c r="C148" s="210"/>
      <c r="D148" s="210"/>
      <c r="E148" s="210"/>
      <c r="F148" s="210"/>
      <c r="G148" s="343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</row>
    <row r="149" spans="1:17" ht="15" customHeight="1">
      <c r="A149" s="210"/>
      <c r="B149" s="237"/>
      <c r="C149" s="210"/>
      <c r="D149" s="210"/>
      <c r="E149" s="210"/>
      <c r="F149" s="210"/>
      <c r="G149" s="343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</row>
    <row r="150" spans="1:17" ht="15" customHeight="1">
      <c r="A150" s="210"/>
      <c r="B150" s="237"/>
      <c r="C150" s="210"/>
      <c r="D150" s="210"/>
      <c r="E150" s="210"/>
      <c r="F150" s="210"/>
      <c r="G150" s="343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</row>
    <row r="151" spans="1:17" ht="15" customHeight="1">
      <c r="A151" s="210"/>
      <c r="B151" s="237"/>
      <c r="C151" s="210"/>
      <c r="D151" s="210"/>
      <c r="E151" s="210"/>
      <c r="F151" s="210"/>
      <c r="G151" s="343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</row>
    <row r="152" spans="1:17" ht="15" customHeight="1">
      <c r="A152" s="209"/>
      <c r="B152" s="238"/>
      <c r="C152" s="210"/>
      <c r="D152" s="210"/>
      <c r="E152" s="210"/>
      <c r="F152" s="210"/>
      <c r="G152" s="343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</row>
    <row r="153" spans="1:17" ht="15" customHeight="1">
      <c r="A153" s="209"/>
      <c r="B153" s="238"/>
      <c r="C153" s="209"/>
      <c r="D153" s="210"/>
      <c r="E153" s="210"/>
      <c r="F153" s="210"/>
      <c r="G153" s="343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</row>
    <row r="154" spans="1:17" ht="15" customHeight="1">
      <c r="A154" s="209"/>
      <c r="B154" s="238"/>
      <c r="C154" s="209"/>
      <c r="D154" s="210"/>
      <c r="E154" s="210"/>
      <c r="F154" s="210"/>
      <c r="G154" s="343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</row>
    <row r="155" spans="1:17" ht="15" customHeight="1">
      <c r="A155" s="209"/>
      <c r="B155" s="238"/>
      <c r="C155" s="209"/>
      <c r="D155" s="210"/>
      <c r="E155" s="210"/>
      <c r="F155" s="210"/>
      <c r="G155" s="343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</row>
    <row r="156" spans="1:17" ht="15" customHeight="1">
      <c r="A156" s="209"/>
      <c r="B156" s="238"/>
      <c r="C156" s="209"/>
      <c r="D156" s="210"/>
      <c r="E156" s="210"/>
      <c r="F156" s="210"/>
      <c r="G156" s="343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</row>
    <row r="157" spans="1:17" ht="20.25" customHeight="1">
      <c r="A157" s="209"/>
      <c r="B157" s="238"/>
      <c r="C157" s="209"/>
      <c r="D157" s="210"/>
      <c r="E157" s="210"/>
      <c r="F157" s="210"/>
      <c r="G157" s="343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</row>
    <row r="158" spans="1:17" ht="15" customHeight="1">
      <c r="A158" s="209"/>
      <c r="B158" s="238"/>
      <c r="C158" s="209"/>
      <c r="D158" s="210"/>
      <c r="E158" s="210"/>
      <c r="F158" s="210"/>
      <c r="G158" s="343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</row>
    <row r="159" spans="1:17" ht="15" customHeight="1">
      <c r="A159" s="209"/>
      <c r="B159" s="238"/>
      <c r="C159" s="209"/>
      <c r="D159" s="210"/>
      <c r="E159" s="210"/>
      <c r="F159" s="210"/>
      <c r="G159" s="343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</row>
    <row r="160" spans="1:17" ht="15" customHeight="1">
      <c r="A160" s="209"/>
      <c r="B160" s="238"/>
      <c r="C160" s="209"/>
      <c r="D160" s="210"/>
      <c r="E160" s="210"/>
      <c r="F160" s="210"/>
      <c r="G160" s="343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</row>
    <row r="161" spans="1:17" ht="15" customHeight="1">
      <c r="A161" s="209"/>
      <c r="B161" s="238"/>
      <c r="C161" s="209"/>
      <c r="D161" s="210"/>
      <c r="E161" s="210"/>
      <c r="F161" s="210"/>
      <c r="G161" s="343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</row>
    <row r="162" spans="1:17" ht="15" customHeight="1">
      <c r="A162" s="209"/>
      <c r="B162" s="238"/>
      <c r="C162" s="209"/>
      <c r="D162" s="210"/>
      <c r="E162" s="210"/>
      <c r="F162" s="210"/>
      <c r="G162" s="343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</row>
    <row r="163" spans="1:17" ht="15" customHeight="1">
      <c r="A163" s="209"/>
      <c r="B163" s="238"/>
      <c r="C163" s="209"/>
      <c r="D163" s="210"/>
      <c r="E163" s="210"/>
      <c r="F163" s="210"/>
      <c r="G163" s="343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</row>
    <row r="164" spans="1:17" ht="15" customHeight="1">
      <c r="A164" s="209"/>
      <c r="B164" s="238"/>
      <c r="C164" s="209"/>
      <c r="D164" s="210"/>
      <c r="E164" s="210"/>
      <c r="F164" s="210"/>
      <c r="G164" s="343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</row>
    <row r="165" spans="1:17" ht="15" customHeight="1">
      <c r="A165" s="209"/>
      <c r="B165" s="238"/>
      <c r="C165" s="209"/>
      <c r="D165" s="210"/>
      <c r="E165" s="210"/>
      <c r="F165" s="210"/>
      <c r="G165" s="343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</row>
    <row r="166" spans="1:17" ht="15" customHeight="1">
      <c r="A166" s="209"/>
      <c r="B166" s="238"/>
      <c r="C166" s="209"/>
      <c r="D166" s="210"/>
      <c r="E166" s="210"/>
      <c r="F166" s="210"/>
      <c r="G166" s="343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</row>
    <row r="167" spans="1:17" ht="15" customHeight="1">
      <c r="A167" s="209"/>
      <c r="B167" s="238"/>
      <c r="C167" s="209"/>
      <c r="D167" s="210"/>
      <c r="E167" s="210"/>
      <c r="F167" s="210"/>
      <c r="G167" s="343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</row>
    <row r="168" spans="1:17" ht="15" customHeight="1">
      <c r="A168" s="209"/>
      <c r="B168" s="238"/>
      <c r="C168" s="209"/>
      <c r="D168" s="210"/>
      <c r="E168" s="210"/>
      <c r="F168" s="210"/>
      <c r="G168" s="343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</row>
    <row r="169" spans="1:17" ht="15" customHeight="1">
      <c r="A169" s="209"/>
      <c r="B169" s="238"/>
      <c r="C169" s="209"/>
      <c r="D169" s="210"/>
      <c r="E169" s="210"/>
      <c r="F169" s="210"/>
      <c r="G169" s="343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</row>
    <row r="170" spans="1:17" ht="15" customHeight="1">
      <c r="A170" s="209"/>
      <c r="B170" s="238"/>
      <c r="C170" s="209"/>
      <c r="D170" s="210"/>
      <c r="E170" s="210"/>
      <c r="F170" s="210"/>
      <c r="G170" s="343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</row>
    <row r="171" spans="1:17" ht="15" customHeight="1">
      <c r="A171" s="209"/>
      <c r="B171" s="238"/>
      <c r="C171" s="209"/>
      <c r="D171" s="210"/>
      <c r="E171" s="210"/>
      <c r="F171" s="210"/>
      <c r="G171" s="343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</row>
    <row r="172" spans="1:17" ht="15" customHeight="1">
      <c r="A172" s="209"/>
      <c r="B172" s="238"/>
      <c r="C172" s="209"/>
      <c r="D172" s="210"/>
      <c r="E172" s="210"/>
      <c r="F172" s="210"/>
      <c r="G172" s="343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</row>
    <row r="173" spans="1:17" ht="15" customHeight="1">
      <c r="A173" s="209"/>
      <c r="B173" s="238"/>
      <c r="C173" s="209"/>
      <c r="D173" s="210"/>
      <c r="E173" s="210"/>
      <c r="F173" s="210"/>
      <c r="G173" s="343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</row>
    <row r="174" spans="1:17" ht="15" customHeight="1">
      <c r="A174" s="209"/>
      <c r="B174" s="238"/>
      <c r="C174" s="209"/>
      <c r="D174" s="210"/>
      <c r="E174" s="210"/>
      <c r="F174" s="210"/>
      <c r="G174" s="343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</row>
    <row r="175" spans="1:17" ht="15" customHeight="1">
      <c r="A175" s="209"/>
      <c r="B175" s="238"/>
      <c r="C175" s="209"/>
      <c r="D175" s="210"/>
      <c r="E175" s="210"/>
      <c r="F175" s="210"/>
      <c r="G175" s="343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</row>
    <row r="176" spans="1:17" ht="15" customHeight="1">
      <c r="A176" s="209"/>
      <c r="B176" s="238"/>
      <c r="C176" s="209"/>
      <c r="D176" s="210"/>
      <c r="E176" s="210"/>
      <c r="F176" s="210"/>
      <c r="G176" s="343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</row>
    <row r="177" spans="1:17" ht="15" customHeight="1">
      <c r="A177" s="209"/>
      <c r="B177" s="238"/>
      <c r="C177" s="209"/>
      <c r="D177" s="210"/>
      <c r="E177" s="210"/>
      <c r="F177" s="210"/>
      <c r="G177" s="343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</row>
    <row r="178" spans="1:17" ht="15" customHeight="1">
      <c r="A178" s="209"/>
      <c r="B178" s="238"/>
      <c r="C178" s="209"/>
      <c r="D178" s="210"/>
      <c r="E178" s="210"/>
      <c r="F178" s="210"/>
      <c r="G178" s="343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</row>
    <row r="179" spans="1:17" ht="15" customHeight="1">
      <c r="A179" s="210"/>
      <c r="B179" s="237"/>
      <c r="C179" s="209"/>
      <c r="D179" s="210"/>
      <c r="E179" s="210"/>
      <c r="F179" s="210"/>
      <c r="G179" s="343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</row>
    <row r="180" spans="1:17" ht="15" customHeight="1"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</row>
    <row r="181" spans="1:17" ht="15" customHeight="1"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</row>
    <row r="182" spans="1:17" ht="15" customHeight="1"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</row>
    <row r="183" spans="1:17" ht="15" customHeight="1"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</row>
    <row r="184" spans="1:17" ht="15" customHeight="1"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</row>
    <row r="185" spans="1:17" ht="15" customHeight="1"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</row>
    <row r="186" spans="1:17" ht="15" customHeight="1"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</row>
    <row r="187" spans="1:17" ht="15" customHeight="1"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</row>
    <row r="188" spans="1:17" ht="15" customHeight="1"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</row>
    <row r="189" spans="1:17" ht="15" customHeight="1"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</row>
    <row r="190" spans="1:17" ht="15" customHeight="1"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</row>
  </sheetData>
  <mergeCells count="3">
    <mergeCell ref="A1:G1"/>
    <mergeCell ref="A2:G2"/>
    <mergeCell ref="A3:G3"/>
  </mergeCells>
  <dataValidations count="1">
    <dataValidation type="list" allowBlank="1" showInputMessage="1" showErrorMessage="1" sqref="G6:G52" xr:uid="{CB8F85E6-A028-49A3-A493-35840ECFA151}">
      <formula1>$I$2:$I$9</formula1>
    </dataValidation>
  </dataValidations>
  <pageMargins left="0.25" right="0.25" top="0.75" bottom="0.75" header="0.3" footer="0.3"/>
  <pageSetup paperSize="9" scale="82" orientation="portrait" horizontalDpi="4294967294" r:id="rId1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B790-485F-4191-8AC9-ACEF34EE3BE8}">
  <sheetPr>
    <tabColor rgb="FFFF0000"/>
  </sheetPr>
  <dimension ref="A1:A1196"/>
  <sheetViews>
    <sheetView topLeftCell="A27" workbookViewId="0">
      <selection activeCell="E871" sqref="E871"/>
    </sheetView>
  </sheetViews>
  <sheetFormatPr baseColWidth="10" defaultColWidth="8.83203125" defaultRowHeight="15"/>
  <cols>
    <col min="1" max="1" width="54.33203125" style="335" customWidth="1"/>
  </cols>
  <sheetData>
    <row r="1" spans="1:1" ht="15" customHeight="1">
      <c r="A1" s="453" t="s">
        <v>153</v>
      </c>
    </row>
    <row r="2" spans="1:1">
      <c r="A2" s="453"/>
    </row>
    <row r="3" spans="1:1">
      <c r="A3" s="310" t="s">
        <v>154</v>
      </c>
    </row>
    <row r="4" spans="1:1">
      <c r="A4" s="311" t="s">
        <v>155</v>
      </c>
    </row>
    <row r="5" spans="1:1">
      <c r="A5" s="312" t="s">
        <v>156</v>
      </c>
    </row>
    <row r="6" spans="1:1">
      <c r="A6" s="312" t="s">
        <v>157</v>
      </c>
    </row>
    <row r="7" spans="1:1">
      <c r="A7" s="312" t="s">
        <v>158</v>
      </c>
    </row>
    <row r="8" spans="1:1">
      <c r="A8" s="312" t="s">
        <v>159</v>
      </c>
    </row>
    <row r="9" spans="1:1">
      <c r="A9" s="312" t="s">
        <v>160</v>
      </c>
    </row>
    <row r="10" spans="1:1">
      <c r="A10" s="312" t="s">
        <v>161</v>
      </c>
    </row>
    <row r="11" spans="1:1">
      <c r="A11" s="312" t="s">
        <v>162</v>
      </c>
    </row>
    <row r="12" spans="1:1">
      <c r="A12" s="312" t="s">
        <v>163</v>
      </c>
    </row>
    <row r="13" spans="1:1">
      <c r="A13" s="312" t="s">
        <v>164</v>
      </c>
    </row>
    <row r="14" spans="1:1">
      <c r="A14" s="312" t="s">
        <v>165</v>
      </c>
    </row>
    <row r="15" spans="1:1">
      <c r="A15" s="312" t="s">
        <v>166</v>
      </c>
    </row>
    <row r="16" spans="1:1">
      <c r="A16" s="312" t="s">
        <v>167</v>
      </c>
    </row>
    <row r="17" spans="1:1">
      <c r="A17" s="312" t="s">
        <v>168</v>
      </c>
    </row>
    <row r="18" spans="1:1">
      <c r="A18" s="312" t="s">
        <v>169</v>
      </c>
    </row>
    <row r="19" spans="1:1">
      <c r="A19" s="312" t="s">
        <v>170</v>
      </c>
    </row>
    <row r="20" spans="1:1">
      <c r="A20" s="312" t="s">
        <v>171</v>
      </c>
    </row>
    <row r="21" spans="1:1">
      <c r="A21" s="312" t="s">
        <v>172</v>
      </c>
    </row>
    <row r="22" spans="1:1">
      <c r="A22" s="312" t="s">
        <v>173</v>
      </c>
    </row>
    <row r="23" spans="1:1">
      <c r="A23" s="311" t="s">
        <v>174</v>
      </c>
    </row>
    <row r="24" spans="1:1">
      <c r="A24" s="313" t="s">
        <v>175</v>
      </c>
    </row>
    <row r="25" spans="1:1">
      <c r="A25" s="313" t="s">
        <v>176</v>
      </c>
    </row>
    <row r="26" spans="1:1">
      <c r="A26" s="313" t="s">
        <v>177</v>
      </c>
    </row>
    <row r="27" spans="1:1">
      <c r="A27" s="311" t="s">
        <v>178</v>
      </c>
    </row>
    <row r="28" spans="1:1">
      <c r="A28" s="312" t="s">
        <v>179</v>
      </c>
    </row>
    <row r="29" spans="1:1">
      <c r="A29" s="312" t="s">
        <v>180</v>
      </c>
    </row>
    <row r="30" spans="1:1">
      <c r="A30" s="312" t="s">
        <v>181</v>
      </c>
    </row>
    <row r="31" spans="1:1">
      <c r="A31" s="312" t="s">
        <v>182</v>
      </c>
    </row>
    <row r="32" spans="1:1">
      <c r="A32" s="312" t="s">
        <v>183</v>
      </c>
    </row>
    <row r="33" spans="1:1">
      <c r="A33" s="312" t="s">
        <v>184</v>
      </c>
    </row>
    <row r="34" spans="1:1">
      <c r="A34" s="312" t="s">
        <v>185</v>
      </c>
    </row>
    <row r="35" spans="1:1">
      <c r="A35" s="312" t="s">
        <v>186</v>
      </c>
    </row>
    <row r="36" spans="1:1">
      <c r="A36" s="312" t="s">
        <v>187</v>
      </c>
    </row>
    <row r="37" spans="1:1">
      <c r="A37" s="312" t="s">
        <v>188</v>
      </c>
    </row>
    <row r="38" spans="1:1">
      <c r="A38" s="312" t="s">
        <v>189</v>
      </c>
    </row>
    <row r="39" spans="1:1">
      <c r="A39" s="312" t="s">
        <v>190</v>
      </c>
    </row>
    <row r="40" spans="1:1">
      <c r="A40" s="312" t="s">
        <v>191</v>
      </c>
    </row>
    <row r="41" spans="1:1">
      <c r="A41" s="312" t="s">
        <v>192</v>
      </c>
    </row>
    <row r="42" spans="1:1">
      <c r="A42" s="314" t="s">
        <v>1331</v>
      </c>
    </row>
    <row r="43" spans="1:1">
      <c r="A43" s="312" t="s">
        <v>193</v>
      </c>
    </row>
    <row r="44" spans="1:1">
      <c r="A44" s="312" t="s">
        <v>194</v>
      </c>
    </row>
    <row r="45" spans="1:1">
      <c r="A45" s="312" t="s">
        <v>195</v>
      </c>
    </row>
    <row r="46" spans="1:1">
      <c r="A46" s="315" t="s">
        <v>196</v>
      </c>
    </row>
    <row r="47" spans="1:1">
      <c r="A47" s="312" t="s">
        <v>197</v>
      </c>
    </row>
    <row r="48" spans="1:1">
      <c r="A48" s="312" t="s">
        <v>198</v>
      </c>
    </row>
    <row r="49" spans="1:1">
      <c r="A49" s="312" t="s">
        <v>199</v>
      </c>
    </row>
    <row r="50" spans="1:1">
      <c r="A50" s="312" t="s">
        <v>200</v>
      </c>
    </row>
    <row r="51" spans="1:1">
      <c r="A51" s="312" t="s">
        <v>201</v>
      </c>
    </row>
    <row r="52" spans="1:1">
      <c r="A52" s="312" t="s">
        <v>202</v>
      </c>
    </row>
    <row r="53" spans="1:1">
      <c r="A53" s="312" t="s">
        <v>203</v>
      </c>
    </row>
    <row r="54" spans="1:1">
      <c r="A54" s="312" t="s">
        <v>204</v>
      </c>
    </row>
    <row r="55" spans="1:1">
      <c r="A55" s="312" t="s">
        <v>205</v>
      </c>
    </row>
    <row r="56" spans="1:1">
      <c r="A56" s="312" t="s">
        <v>206</v>
      </c>
    </row>
    <row r="57" spans="1:1">
      <c r="A57" s="312" t="s">
        <v>207</v>
      </c>
    </row>
    <row r="58" spans="1:1">
      <c r="A58" s="312" t="s">
        <v>208</v>
      </c>
    </row>
    <row r="59" spans="1:1">
      <c r="A59" s="312" t="s">
        <v>209</v>
      </c>
    </row>
    <row r="60" spans="1:1">
      <c r="A60" s="312" t="s">
        <v>210</v>
      </c>
    </row>
    <row r="61" spans="1:1">
      <c r="A61" s="312" t="s">
        <v>211</v>
      </c>
    </row>
    <row r="62" spans="1:1">
      <c r="A62" s="312" t="s">
        <v>212</v>
      </c>
    </row>
    <row r="63" spans="1:1">
      <c r="A63" s="316" t="s">
        <v>213</v>
      </c>
    </row>
    <row r="64" spans="1:1">
      <c r="A64" s="311" t="s">
        <v>214</v>
      </c>
    </row>
    <row r="65" spans="1:1">
      <c r="A65" s="312" t="s">
        <v>215</v>
      </c>
    </row>
    <row r="66" spans="1:1">
      <c r="A66" s="312" t="s">
        <v>216</v>
      </c>
    </row>
    <row r="67" spans="1:1">
      <c r="A67" s="312" t="s">
        <v>217</v>
      </c>
    </row>
    <row r="68" spans="1:1">
      <c r="A68" s="312" t="s">
        <v>218</v>
      </c>
    </row>
    <row r="69" spans="1:1">
      <c r="A69" s="312" t="s">
        <v>219</v>
      </c>
    </row>
    <row r="70" spans="1:1">
      <c r="A70" s="312" t="s">
        <v>220</v>
      </c>
    </row>
    <row r="71" spans="1:1">
      <c r="A71" s="312" t="s">
        <v>221</v>
      </c>
    </row>
    <row r="72" spans="1:1">
      <c r="A72" s="312" t="s">
        <v>222</v>
      </c>
    </row>
    <row r="73" spans="1:1">
      <c r="A73" s="312" t="s">
        <v>223</v>
      </c>
    </row>
    <row r="74" spans="1:1">
      <c r="A74" s="312" t="s">
        <v>224</v>
      </c>
    </row>
    <row r="75" spans="1:1">
      <c r="A75" s="312" t="s">
        <v>225</v>
      </c>
    </row>
    <row r="76" spans="1:1">
      <c r="A76" s="312" t="s">
        <v>226</v>
      </c>
    </row>
    <row r="77" spans="1:1">
      <c r="A77" s="312" t="s">
        <v>227</v>
      </c>
    </row>
    <row r="78" spans="1:1">
      <c r="A78" s="312" t="s">
        <v>228</v>
      </c>
    </row>
    <row r="79" spans="1:1">
      <c r="A79" s="312" t="s">
        <v>229</v>
      </c>
    </row>
    <row r="80" spans="1:1">
      <c r="A80" s="312" t="s">
        <v>230</v>
      </c>
    </row>
    <row r="81" spans="1:1">
      <c r="A81" s="312" t="s">
        <v>231</v>
      </c>
    </row>
    <row r="82" spans="1:1">
      <c r="A82" s="312" t="s">
        <v>232</v>
      </c>
    </row>
    <row r="83" spans="1:1">
      <c r="A83" s="312" t="s">
        <v>233</v>
      </c>
    </row>
    <row r="84" spans="1:1">
      <c r="A84" s="312" t="s">
        <v>234</v>
      </c>
    </row>
    <row r="85" spans="1:1">
      <c r="A85" s="312" t="s">
        <v>235</v>
      </c>
    </row>
    <row r="86" spans="1:1">
      <c r="A86" s="312" t="s">
        <v>236</v>
      </c>
    </row>
    <row r="87" spans="1:1">
      <c r="A87" s="312" t="s">
        <v>237</v>
      </c>
    </row>
    <row r="88" spans="1:1">
      <c r="A88" s="312" t="s">
        <v>238</v>
      </c>
    </row>
    <row r="89" spans="1:1">
      <c r="A89" s="312" t="s">
        <v>239</v>
      </c>
    </row>
    <row r="90" spans="1:1">
      <c r="A90" s="312" t="s">
        <v>240</v>
      </c>
    </row>
    <row r="91" spans="1:1">
      <c r="A91" s="312" t="s">
        <v>241</v>
      </c>
    </row>
    <row r="92" spans="1:1">
      <c r="A92" s="312" t="s">
        <v>242</v>
      </c>
    </row>
    <row r="93" spans="1:1">
      <c r="A93" s="312" t="s">
        <v>243</v>
      </c>
    </row>
    <row r="94" spans="1:1">
      <c r="A94" s="312" t="s">
        <v>244</v>
      </c>
    </row>
    <row r="95" spans="1:1">
      <c r="A95" s="312" t="s">
        <v>245</v>
      </c>
    </row>
    <row r="96" spans="1:1">
      <c r="A96" s="312" t="s">
        <v>246</v>
      </c>
    </row>
    <row r="97" spans="1:1">
      <c r="A97" s="312" t="s">
        <v>247</v>
      </c>
    </row>
    <row r="98" spans="1:1">
      <c r="A98" s="312" t="s">
        <v>248</v>
      </c>
    </row>
    <row r="99" spans="1:1">
      <c r="A99" s="312" t="s">
        <v>249</v>
      </c>
    </row>
    <row r="100" spans="1:1">
      <c r="A100" s="317" t="s">
        <v>250</v>
      </c>
    </row>
    <row r="101" spans="1:1">
      <c r="A101" s="312" t="s">
        <v>251</v>
      </c>
    </row>
    <row r="102" spans="1:1">
      <c r="A102" s="312" t="s">
        <v>252</v>
      </c>
    </row>
    <row r="103" spans="1:1">
      <c r="A103" s="312" t="s">
        <v>253</v>
      </c>
    </row>
    <row r="104" spans="1:1">
      <c r="A104" s="312" t="s">
        <v>254</v>
      </c>
    </row>
    <row r="105" spans="1:1">
      <c r="A105" s="312" t="s">
        <v>255</v>
      </c>
    </row>
    <row r="106" spans="1:1">
      <c r="A106" s="312" t="s">
        <v>256</v>
      </c>
    </row>
    <row r="107" spans="1:1">
      <c r="A107" s="312" t="s">
        <v>257</v>
      </c>
    </row>
    <row r="108" spans="1:1">
      <c r="A108" s="312" t="s">
        <v>258</v>
      </c>
    </row>
    <row r="109" spans="1:1">
      <c r="A109" s="312" t="s">
        <v>259</v>
      </c>
    </row>
    <row r="110" spans="1:1">
      <c r="A110" s="312" t="s">
        <v>260</v>
      </c>
    </row>
    <row r="111" spans="1:1">
      <c r="A111" s="312" t="s">
        <v>261</v>
      </c>
    </row>
    <row r="112" spans="1:1">
      <c r="A112" s="312" t="s">
        <v>262</v>
      </c>
    </row>
    <row r="113" spans="1:1">
      <c r="A113" s="312" t="s">
        <v>263</v>
      </c>
    </row>
    <row r="114" spans="1:1">
      <c r="A114" s="315" t="s">
        <v>264</v>
      </c>
    </row>
    <row r="115" spans="1:1">
      <c r="A115" s="318" t="s">
        <v>265</v>
      </c>
    </row>
    <row r="116" spans="1:1">
      <c r="A116" s="318" t="s">
        <v>266</v>
      </c>
    </row>
    <row r="117" spans="1:1">
      <c r="A117" s="311" t="s">
        <v>267</v>
      </c>
    </row>
    <row r="118" spans="1:1">
      <c r="A118" s="312" t="s">
        <v>268</v>
      </c>
    </row>
    <row r="119" spans="1:1">
      <c r="A119" s="311" t="s">
        <v>269</v>
      </c>
    </row>
    <row r="120" spans="1:1">
      <c r="A120" s="312" t="s">
        <v>270</v>
      </c>
    </row>
    <row r="121" spans="1:1">
      <c r="A121" s="312" t="s">
        <v>271</v>
      </c>
    </row>
    <row r="122" spans="1:1">
      <c r="A122" s="311" t="s">
        <v>272</v>
      </c>
    </row>
    <row r="123" spans="1:1">
      <c r="A123" s="319" t="s">
        <v>273</v>
      </c>
    </row>
    <row r="124" spans="1:1">
      <c r="A124" s="319" t="s">
        <v>274</v>
      </c>
    </row>
    <row r="125" spans="1:1">
      <c r="A125" s="319" t="s">
        <v>275</v>
      </c>
    </row>
    <row r="126" spans="1:1">
      <c r="A126" s="319" t="s">
        <v>276</v>
      </c>
    </row>
    <row r="127" spans="1:1">
      <c r="A127" s="319" t="s">
        <v>277</v>
      </c>
    </row>
    <row r="128" spans="1:1">
      <c r="A128" s="319" t="s">
        <v>278</v>
      </c>
    </row>
    <row r="129" spans="1:1">
      <c r="A129" s="319" t="s">
        <v>279</v>
      </c>
    </row>
    <row r="130" spans="1:1">
      <c r="A130" s="319" t="s">
        <v>280</v>
      </c>
    </row>
    <row r="131" spans="1:1">
      <c r="A131" s="319" t="s">
        <v>281</v>
      </c>
    </row>
    <row r="132" spans="1:1">
      <c r="A132" s="319" t="s">
        <v>282</v>
      </c>
    </row>
    <row r="133" spans="1:1">
      <c r="A133" s="319" t="s">
        <v>283</v>
      </c>
    </row>
    <row r="134" spans="1:1">
      <c r="A134" s="319" t="s">
        <v>284</v>
      </c>
    </row>
    <row r="135" spans="1:1">
      <c r="A135" s="319" t="s">
        <v>285</v>
      </c>
    </row>
    <row r="136" spans="1:1">
      <c r="A136" s="319" t="s">
        <v>286</v>
      </c>
    </row>
    <row r="137" spans="1:1">
      <c r="A137" s="319" t="s">
        <v>287</v>
      </c>
    </row>
    <row r="138" spans="1:1">
      <c r="A138" s="319" t="s">
        <v>288</v>
      </c>
    </row>
    <row r="139" spans="1:1">
      <c r="A139" s="319" t="s">
        <v>289</v>
      </c>
    </row>
    <row r="140" spans="1:1">
      <c r="A140" s="319" t="s">
        <v>290</v>
      </c>
    </row>
    <row r="141" spans="1:1">
      <c r="A141" s="319" t="s">
        <v>291</v>
      </c>
    </row>
    <row r="142" spans="1:1">
      <c r="A142" s="319" t="s">
        <v>292</v>
      </c>
    </row>
    <row r="143" spans="1:1">
      <c r="A143" s="319" t="s">
        <v>293</v>
      </c>
    </row>
    <row r="144" spans="1:1">
      <c r="A144" s="319" t="s">
        <v>294</v>
      </c>
    </row>
    <row r="145" spans="1:1">
      <c r="A145" s="319" t="s">
        <v>295</v>
      </c>
    </row>
    <row r="146" spans="1:1">
      <c r="A146" s="319" t="s">
        <v>296</v>
      </c>
    </row>
    <row r="147" spans="1:1">
      <c r="A147" s="319" t="s">
        <v>297</v>
      </c>
    </row>
    <row r="148" spans="1:1">
      <c r="A148" s="319" t="s">
        <v>298</v>
      </c>
    </row>
    <row r="149" spans="1:1">
      <c r="A149" s="319" t="s">
        <v>299</v>
      </c>
    </row>
    <row r="150" spans="1:1">
      <c r="A150" s="319" t="s">
        <v>300</v>
      </c>
    </row>
    <row r="151" spans="1:1">
      <c r="A151" s="319" t="s">
        <v>301</v>
      </c>
    </row>
    <row r="152" spans="1:1">
      <c r="A152" s="319" t="s">
        <v>302</v>
      </c>
    </row>
    <row r="153" spans="1:1">
      <c r="A153" s="319" t="s">
        <v>303</v>
      </c>
    </row>
    <row r="154" spans="1:1">
      <c r="A154" s="319" t="s">
        <v>304</v>
      </c>
    </row>
    <row r="155" spans="1:1">
      <c r="A155" s="319" t="s">
        <v>305</v>
      </c>
    </row>
    <row r="156" spans="1:1">
      <c r="A156" s="319" t="s">
        <v>306</v>
      </c>
    </row>
    <row r="157" spans="1:1">
      <c r="A157" s="319" t="s">
        <v>307</v>
      </c>
    </row>
    <row r="158" spans="1:1">
      <c r="A158" s="319" t="s">
        <v>308</v>
      </c>
    </row>
    <row r="159" spans="1:1">
      <c r="A159" s="319" t="s">
        <v>309</v>
      </c>
    </row>
    <row r="160" spans="1:1">
      <c r="A160" s="319" t="s">
        <v>310</v>
      </c>
    </row>
    <row r="161" spans="1:1">
      <c r="A161" s="319" t="s">
        <v>311</v>
      </c>
    </row>
    <row r="162" spans="1:1">
      <c r="A162" s="319" t="s">
        <v>312</v>
      </c>
    </row>
    <row r="163" spans="1:1">
      <c r="A163" s="311" t="s">
        <v>313</v>
      </c>
    </row>
    <row r="164" spans="1:1">
      <c r="A164" s="312" t="s">
        <v>314</v>
      </c>
    </row>
    <row r="165" spans="1:1">
      <c r="A165" s="312" t="s">
        <v>315</v>
      </c>
    </row>
    <row r="166" spans="1:1">
      <c r="A166" s="312" t="s">
        <v>316</v>
      </c>
    </row>
    <row r="167" spans="1:1">
      <c r="A167" s="312" t="s">
        <v>317</v>
      </c>
    </row>
    <row r="168" spans="1:1">
      <c r="A168" s="312" t="s">
        <v>318</v>
      </c>
    </row>
    <row r="169" spans="1:1">
      <c r="A169" s="312" t="s">
        <v>319</v>
      </c>
    </row>
    <row r="170" spans="1:1">
      <c r="A170" s="312" t="s">
        <v>320</v>
      </c>
    </row>
    <row r="171" spans="1:1">
      <c r="A171" s="312" t="s">
        <v>321</v>
      </c>
    </row>
    <row r="172" spans="1:1">
      <c r="A172" s="312" t="s">
        <v>322</v>
      </c>
    </row>
    <row r="173" spans="1:1">
      <c r="A173" s="312" t="s">
        <v>323</v>
      </c>
    </row>
    <row r="174" spans="1:1">
      <c r="A174" s="312" t="s">
        <v>324</v>
      </c>
    </row>
    <row r="175" spans="1:1">
      <c r="A175" s="312" t="s">
        <v>325</v>
      </c>
    </row>
    <row r="176" spans="1:1">
      <c r="A176" s="312" t="s">
        <v>326</v>
      </c>
    </row>
    <row r="177" spans="1:1">
      <c r="A177" s="312" t="s">
        <v>327</v>
      </c>
    </row>
    <row r="178" spans="1:1">
      <c r="A178" s="312" t="s">
        <v>328</v>
      </c>
    </row>
    <row r="179" spans="1:1">
      <c r="A179" s="312" t="s">
        <v>329</v>
      </c>
    </row>
    <row r="180" spans="1:1">
      <c r="A180" s="312" t="s">
        <v>330</v>
      </c>
    </row>
    <row r="181" spans="1:1">
      <c r="A181" s="312" t="s">
        <v>331</v>
      </c>
    </row>
    <row r="182" spans="1:1">
      <c r="A182" s="312" t="s">
        <v>332</v>
      </c>
    </row>
    <row r="183" spans="1:1">
      <c r="A183" s="312" t="s">
        <v>333</v>
      </c>
    </row>
    <row r="184" spans="1:1">
      <c r="A184" s="315" t="s">
        <v>334</v>
      </c>
    </row>
    <row r="185" spans="1:1">
      <c r="A185" s="312" t="s">
        <v>335</v>
      </c>
    </row>
    <row r="186" spans="1:1">
      <c r="A186" s="312" t="s">
        <v>336</v>
      </c>
    </row>
    <row r="187" spans="1:1">
      <c r="A187" s="312" t="s">
        <v>337</v>
      </c>
    </row>
    <row r="188" spans="1:1">
      <c r="A188" s="312" t="s">
        <v>338</v>
      </c>
    </row>
    <row r="189" spans="1:1">
      <c r="A189" s="312" t="s">
        <v>339</v>
      </c>
    </row>
    <row r="190" spans="1:1">
      <c r="A190" s="312" t="s">
        <v>335</v>
      </c>
    </row>
    <row r="191" spans="1:1">
      <c r="A191" s="312" t="s">
        <v>340</v>
      </c>
    </row>
    <row r="192" spans="1:1">
      <c r="A192" s="312" t="s">
        <v>341</v>
      </c>
    </row>
    <row r="193" spans="1:1">
      <c r="A193" s="312" t="s">
        <v>342</v>
      </c>
    </row>
    <row r="194" spans="1:1">
      <c r="A194" s="312" t="s">
        <v>343</v>
      </c>
    </row>
    <row r="195" spans="1:1">
      <c r="A195" s="312" t="s">
        <v>344</v>
      </c>
    </row>
    <row r="196" spans="1:1">
      <c r="A196" s="312" t="s">
        <v>345</v>
      </c>
    </row>
    <row r="197" spans="1:1">
      <c r="A197" s="312" t="s">
        <v>346</v>
      </c>
    </row>
    <row r="198" spans="1:1">
      <c r="A198" s="312" t="s">
        <v>347</v>
      </c>
    </row>
    <row r="199" spans="1:1">
      <c r="A199" s="315" t="s">
        <v>348</v>
      </c>
    </row>
    <row r="200" spans="1:1" s="307" customFormat="1">
      <c r="A200" s="315" t="s">
        <v>349</v>
      </c>
    </row>
    <row r="201" spans="1:1" s="307" customFormat="1">
      <c r="A201" s="315" t="s">
        <v>350</v>
      </c>
    </row>
    <row r="202" spans="1:1">
      <c r="A202" s="311" t="s">
        <v>351</v>
      </c>
    </row>
    <row r="203" spans="1:1">
      <c r="A203" s="312" t="s">
        <v>352</v>
      </c>
    </row>
    <row r="204" spans="1:1">
      <c r="A204" s="312" t="s">
        <v>353</v>
      </c>
    </row>
    <row r="205" spans="1:1">
      <c r="A205" s="312" t="s">
        <v>354</v>
      </c>
    </row>
    <row r="206" spans="1:1">
      <c r="A206" s="312" t="s">
        <v>355</v>
      </c>
    </row>
    <row r="207" spans="1:1">
      <c r="A207" s="311" t="s">
        <v>356</v>
      </c>
    </row>
    <row r="208" spans="1:1">
      <c r="A208" s="312" t="s">
        <v>357</v>
      </c>
    </row>
    <row r="209" spans="1:1">
      <c r="A209" s="312" t="s">
        <v>358</v>
      </c>
    </row>
    <row r="210" spans="1:1">
      <c r="A210" s="312" t="s">
        <v>359</v>
      </c>
    </row>
    <row r="211" spans="1:1">
      <c r="A211" s="312" t="s">
        <v>360</v>
      </c>
    </row>
    <row r="212" spans="1:1">
      <c r="A212" s="312" t="s">
        <v>361</v>
      </c>
    </row>
    <row r="213" spans="1:1">
      <c r="A213" s="312" t="s">
        <v>362</v>
      </c>
    </row>
    <row r="214" spans="1:1">
      <c r="A214" s="312" t="s">
        <v>363</v>
      </c>
    </row>
    <row r="215" spans="1:1">
      <c r="A215" s="312" t="s">
        <v>364</v>
      </c>
    </row>
    <row r="216" spans="1:1">
      <c r="A216" s="312" t="s">
        <v>365</v>
      </c>
    </row>
    <row r="217" spans="1:1">
      <c r="A217" s="312" t="s">
        <v>366</v>
      </c>
    </row>
    <row r="218" spans="1:1">
      <c r="A218" s="312" t="s">
        <v>367</v>
      </c>
    </row>
    <row r="219" spans="1:1">
      <c r="A219" s="312" t="s">
        <v>368</v>
      </c>
    </row>
    <row r="220" spans="1:1">
      <c r="A220" s="312" t="s">
        <v>369</v>
      </c>
    </row>
    <row r="221" spans="1:1">
      <c r="A221" s="312" t="s">
        <v>370</v>
      </c>
    </row>
    <row r="222" spans="1:1">
      <c r="A222" s="312" t="s">
        <v>371</v>
      </c>
    </row>
    <row r="223" spans="1:1">
      <c r="A223" s="312" t="s">
        <v>372</v>
      </c>
    </row>
    <row r="224" spans="1:1">
      <c r="A224" s="312" t="s">
        <v>373</v>
      </c>
    </row>
    <row r="225" spans="1:1">
      <c r="A225" s="312" t="s">
        <v>374</v>
      </c>
    </row>
    <row r="226" spans="1:1">
      <c r="A226" s="312" t="s">
        <v>375</v>
      </c>
    </row>
    <row r="227" spans="1:1">
      <c r="A227" s="312" t="s">
        <v>376</v>
      </c>
    </row>
    <row r="228" spans="1:1">
      <c r="A228" s="312" t="s">
        <v>377</v>
      </c>
    </row>
    <row r="229" spans="1:1">
      <c r="A229" s="312" t="s">
        <v>378</v>
      </c>
    </row>
    <row r="230" spans="1:1">
      <c r="A230" s="312" t="s">
        <v>379</v>
      </c>
    </row>
    <row r="231" spans="1:1">
      <c r="A231" s="312" t="s">
        <v>380</v>
      </c>
    </row>
    <row r="232" spans="1:1">
      <c r="A232" s="312" t="s">
        <v>381</v>
      </c>
    </row>
    <row r="233" spans="1:1">
      <c r="A233" s="312" t="s">
        <v>382</v>
      </c>
    </row>
    <row r="234" spans="1:1">
      <c r="A234" s="312" t="s">
        <v>383</v>
      </c>
    </row>
    <row r="235" spans="1:1">
      <c r="A235" s="312" t="s">
        <v>384</v>
      </c>
    </row>
    <row r="236" spans="1:1">
      <c r="A236" s="312" t="s">
        <v>385</v>
      </c>
    </row>
    <row r="237" spans="1:1">
      <c r="A237" s="312" t="s">
        <v>386</v>
      </c>
    </row>
    <row r="238" spans="1:1">
      <c r="A238" s="312" t="s">
        <v>387</v>
      </c>
    </row>
    <row r="239" spans="1:1">
      <c r="A239" s="312" t="s">
        <v>388</v>
      </c>
    </row>
    <row r="240" spans="1:1">
      <c r="A240" s="312" t="s">
        <v>389</v>
      </c>
    </row>
    <row r="241" spans="1:1">
      <c r="A241" s="312" t="s">
        <v>390</v>
      </c>
    </row>
    <row r="242" spans="1:1">
      <c r="A242" s="312" t="s">
        <v>391</v>
      </c>
    </row>
    <row r="243" spans="1:1">
      <c r="A243" s="312" t="s">
        <v>392</v>
      </c>
    </row>
    <row r="244" spans="1:1">
      <c r="A244" s="312" t="s">
        <v>393</v>
      </c>
    </row>
    <row r="245" spans="1:1">
      <c r="A245" s="312" t="s">
        <v>394</v>
      </c>
    </row>
    <row r="246" spans="1:1">
      <c r="A246" s="318" t="s">
        <v>395</v>
      </c>
    </row>
    <row r="247" spans="1:1">
      <c r="A247" s="315" t="s">
        <v>1310</v>
      </c>
    </row>
    <row r="248" spans="1:1">
      <c r="A248" s="315" t="s">
        <v>1311</v>
      </c>
    </row>
    <row r="249" spans="1:1">
      <c r="A249" s="311" t="s">
        <v>396</v>
      </c>
    </row>
    <row r="250" spans="1:1">
      <c r="A250" s="312" t="s">
        <v>397</v>
      </c>
    </row>
    <row r="251" spans="1:1">
      <c r="A251" s="312" t="s">
        <v>398</v>
      </c>
    </row>
    <row r="252" spans="1:1">
      <c r="A252" s="312" t="s">
        <v>399</v>
      </c>
    </row>
    <row r="253" spans="1:1">
      <c r="A253" s="312" t="s">
        <v>400</v>
      </c>
    </row>
    <row r="254" spans="1:1">
      <c r="A254" s="312" t="s">
        <v>401</v>
      </c>
    </row>
    <row r="255" spans="1:1">
      <c r="A255" s="311" t="s">
        <v>402</v>
      </c>
    </row>
    <row r="256" spans="1:1">
      <c r="A256" s="312" t="s">
        <v>403</v>
      </c>
    </row>
    <row r="257" spans="1:1">
      <c r="A257" s="312" t="s">
        <v>404</v>
      </c>
    </row>
    <row r="258" spans="1:1">
      <c r="A258" s="311" t="s">
        <v>405</v>
      </c>
    </row>
    <row r="259" spans="1:1">
      <c r="A259" s="312" t="s">
        <v>406</v>
      </c>
    </row>
    <row r="260" spans="1:1">
      <c r="A260" s="312" t="s">
        <v>407</v>
      </c>
    </row>
    <row r="261" spans="1:1">
      <c r="A261" s="312" t="s">
        <v>408</v>
      </c>
    </row>
    <row r="262" spans="1:1">
      <c r="A262" s="312" t="s">
        <v>409</v>
      </c>
    </row>
    <row r="263" spans="1:1">
      <c r="A263" s="312" t="s">
        <v>410</v>
      </c>
    </row>
    <row r="264" spans="1:1">
      <c r="A264" s="312" t="s">
        <v>411</v>
      </c>
    </row>
    <row r="265" spans="1:1">
      <c r="A265" s="312" t="s">
        <v>412</v>
      </c>
    </row>
    <row r="266" spans="1:1">
      <c r="A266" s="315" t="s">
        <v>413</v>
      </c>
    </row>
    <row r="267" spans="1:1">
      <c r="A267" s="311" t="s">
        <v>414</v>
      </c>
    </row>
    <row r="268" spans="1:1">
      <c r="A268" s="312" t="s">
        <v>415</v>
      </c>
    </row>
    <row r="269" spans="1:1">
      <c r="A269" s="312" t="s">
        <v>416</v>
      </c>
    </row>
    <row r="270" spans="1:1">
      <c r="A270" s="312" t="s">
        <v>417</v>
      </c>
    </row>
    <row r="271" spans="1:1">
      <c r="A271" s="312" t="s">
        <v>418</v>
      </c>
    </row>
    <row r="272" spans="1:1">
      <c r="A272" s="312" t="s">
        <v>419</v>
      </c>
    </row>
    <row r="273" spans="1:1">
      <c r="A273" s="312" t="s">
        <v>420</v>
      </c>
    </row>
    <row r="274" spans="1:1">
      <c r="A274" s="312" t="s">
        <v>421</v>
      </c>
    </row>
    <row r="275" spans="1:1">
      <c r="A275" s="320" t="s">
        <v>422</v>
      </c>
    </row>
    <row r="276" spans="1:1">
      <c r="A276" s="315" t="s">
        <v>423</v>
      </c>
    </row>
    <row r="277" spans="1:1">
      <c r="A277" s="315" t="s">
        <v>424</v>
      </c>
    </row>
    <row r="278" spans="1:1">
      <c r="A278" s="315" t="s">
        <v>425</v>
      </c>
    </row>
    <row r="279" spans="1:1">
      <c r="A279" s="315" t="s">
        <v>426</v>
      </c>
    </row>
    <row r="280" spans="1:1">
      <c r="A280" s="315" t="s">
        <v>427</v>
      </c>
    </row>
    <row r="281" spans="1:1">
      <c r="A281" s="311" t="s">
        <v>428</v>
      </c>
    </row>
    <row r="282" spans="1:1">
      <c r="A282" s="312" t="s">
        <v>429</v>
      </c>
    </row>
    <row r="283" spans="1:1">
      <c r="A283" s="312" t="s">
        <v>430</v>
      </c>
    </row>
    <row r="284" spans="1:1">
      <c r="A284" s="312" t="s">
        <v>431</v>
      </c>
    </row>
    <row r="285" spans="1:1">
      <c r="A285" s="312" t="s">
        <v>432</v>
      </c>
    </row>
    <row r="286" spans="1:1">
      <c r="A286" s="312" t="s">
        <v>433</v>
      </c>
    </row>
    <row r="287" spans="1:1">
      <c r="A287" s="312" t="s">
        <v>434</v>
      </c>
    </row>
    <row r="288" spans="1:1">
      <c r="A288" s="312" t="s">
        <v>435</v>
      </c>
    </row>
    <row r="289" spans="1:1">
      <c r="A289" s="312" t="s">
        <v>436</v>
      </c>
    </row>
    <row r="290" spans="1:1">
      <c r="A290" s="312" t="s">
        <v>437</v>
      </c>
    </row>
    <row r="291" spans="1:1">
      <c r="A291" s="312" t="s">
        <v>438</v>
      </c>
    </row>
    <row r="292" spans="1:1">
      <c r="A292" s="312" t="s">
        <v>439</v>
      </c>
    </row>
    <row r="293" spans="1:1">
      <c r="A293" s="312" t="s">
        <v>440</v>
      </c>
    </row>
    <row r="294" spans="1:1">
      <c r="A294" s="312" t="s">
        <v>441</v>
      </c>
    </row>
    <row r="295" spans="1:1">
      <c r="A295" s="312" t="s">
        <v>442</v>
      </c>
    </row>
    <row r="296" spans="1:1">
      <c r="A296" s="312" t="s">
        <v>443</v>
      </c>
    </row>
    <row r="297" spans="1:1">
      <c r="A297" s="312" t="s">
        <v>444</v>
      </c>
    </row>
    <row r="298" spans="1:1">
      <c r="A298" s="312" t="s">
        <v>445</v>
      </c>
    </row>
    <row r="299" spans="1:1">
      <c r="A299" s="312" t="s">
        <v>446</v>
      </c>
    </row>
    <row r="300" spans="1:1">
      <c r="A300" s="312" t="s">
        <v>447</v>
      </c>
    </row>
    <row r="301" spans="1:1">
      <c r="A301" s="312" t="s">
        <v>448</v>
      </c>
    </row>
    <row r="302" spans="1:1">
      <c r="A302" s="240" t="s">
        <v>449</v>
      </c>
    </row>
    <row r="303" spans="1:1">
      <c r="A303" s="311" t="s">
        <v>450</v>
      </c>
    </row>
    <row r="304" spans="1:1">
      <c r="A304" s="312" t="s">
        <v>451</v>
      </c>
    </row>
    <row r="305" spans="1:1">
      <c r="A305" s="312" t="s">
        <v>452</v>
      </c>
    </row>
    <row r="306" spans="1:1">
      <c r="A306" s="312" t="s">
        <v>453</v>
      </c>
    </row>
    <row r="307" spans="1:1">
      <c r="A307" s="312" t="s">
        <v>454</v>
      </c>
    </row>
    <row r="308" spans="1:1">
      <c r="A308" s="312" t="s">
        <v>455</v>
      </c>
    </row>
    <row r="309" spans="1:1">
      <c r="A309" s="317" t="s">
        <v>456</v>
      </c>
    </row>
    <row r="310" spans="1:1">
      <c r="A310" s="312" t="s">
        <v>457</v>
      </c>
    </row>
    <row r="311" spans="1:1">
      <c r="A311" s="312" t="s">
        <v>458</v>
      </c>
    </row>
    <row r="312" spans="1:1">
      <c r="A312" s="311" t="s">
        <v>459</v>
      </c>
    </row>
    <row r="313" spans="1:1">
      <c r="A313" s="312" t="s">
        <v>460</v>
      </c>
    </row>
    <row r="314" spans="1:1">
      <c r="A314" s="312" t="s">
        <v>461</v>
      </c>
    </row>
    <row r="315" spans="1:1">
      <c r="A315" s="312" t="s">
        <v>462</v>
      </c>
    </row>
    <row r="316" spans="1:1">
      <c r="A316" s="312" t="s">
        <v>463</v>
      </c>
    </row>
    <row r="317" spans="1:1">
      <c r="A317" s="312" t="s">
        <v>464</v>
      </c>
    </row>
    <row r="318" spans="1:1">
      <c r="A318" s="312" t="s">
        <v>465</v>
      </c>
    </row>
    <row r="319" spans="1:1">
      <c r="A319" s="312" t="s">
        <v>466</v>
      </c>
    </row>
    <row r="320" spans="1:1">
      <c r="A320" s="312" t="s">
        <v>467</v>
      </c>
    </row>
    <row r="321" spans="1:1">
      <c r="A321" s="312" t="s">
        <v>468</v>
      </c>
    </row>
    <row r="322" spans="1:1">
      <c r="A322" s="312" t="s">
        <v>469</v>
      </c>
    </row>
    <row r="323" spans="1:1">
      <c r="A323" s="312" t="s">
        <v>470</v>
      </c>
    </row>
    <row r="324" spans="1:1">
      <c r="A324" s="312" t="s">
        <v>471</v>
      </c>
    </row>
    <row r="325" spans="1:1">
      <c r="A325" s="321" t="s">
        <v>472</v>
      </c>
    </row>
    <row r="326" spans="1:1">
      <c r="A326" s="312" t="s">
        <v>473</v>
      </c>
    </row>
    <row r="327" spans="1:1">
      <c r="A327" s="311" t="s">
        <v>474</v>
      </c>
    </row>
    <row r="328" spans="1:1">
      <c r="A328" s="312" t="s">
        <v>475</v>
      </c>
    </row>
    <row r="329" spans="1:1">
      <c r="A329" s="312" t="s">
        <v>476</v>
      </c>
    </row>
    <row r="330" spans="1:1">
      <c r="A330" s="312" t="s">
        <v>477</v>
      </c>
    </row>
    <row r="331" spans="1:1">
      <c r="A331" s="312" t="s">
        <v>478</v>
      </c>
    </row>
    <row r="332" spans="1:1">
      <c r="A332" s="312" t="s">
        <v>479</v>
      </c>
    </row>
    <row r="333" spans="1:1">
      <c r="A333" s="312" t="s">
        <v>480</v>
      </c>
    </row>
    <row r="334" spans="1:1">
      <c r="A334" s="322" t="s">
        <v>481</v>
      </c>
    </row>
    <row r="335" spans="1:1">
      <c r="A335" s="312" t="s">
        <v>482</v>
      </c>
    </row>
    <row r="336" spans="1:1">
      <c r="A336" s="312" t="s">
        <v>483</v>
      </c>
    </row>
    <row r="337" spans="1:1">
      <c r="A337" s="322" t="s">
        <v>484</v>
      </c>
    </row>
    <row r="338" spans="1:1">
      <c r="A338" s="312" t="s">
        <v>485</v>
      </c>
    </row>
    <row r="339" spans="1:1">
      <c r="A339" s="312" t="s">
        <v>486</v>
      </c>
    </row>
    <row r="340" spans="1:1">
      <c r="A340" s="312" t="s">
        <v>487</v>
      </c>
    </row>
    <row r="341" spans="1:1">
      <c r="A341" s="312" t="s">
        <v>488</v>
      </c>
    </row>
    <row r="342" spans="1:1">
      <c r="A342" s="312" t="s">
        <v>489</v>
      </c>
    </row>
    <row r="343" spans="1:1">
      <c r="A343" s="322" t="s">
        <v>490</v>
      </c>
    </row>
    <row r="344" spans="1:1">
      <c r="A344" s="312" t="s">
        <v>491</v>
      </c>
    </row>
    <row r="345" spans="1:1">
      <c r="A345" s="322" t="s">
        <v>492</v>
      </c>
    </row>
    <row r="346" spans="1:1">
      <c r="A346" s="312" t="s">
        <v>493</v>
      </c>
    </row>
    <row r="347" spans="1:1">
      <c r="A347" s="322" t="s">
        <v>494</v>
      </c>
    </row>
    <row r="348" spans="1:1">
      <c r="A348" s="312" t="s">
        <v>495</v>
      </c>
    </row>
    <row r="349" spans="1:1">
      <c r="A349" s="312" t="s">
        <v>496</v>
      </c>
    </row>
    <row r="350" spans="1:1">
      <c r="A350" s="312" t="s">
        <v>497</v>
      </c>
    </row>
    <row r="351" spans="1:1">
      <c r="A351" s="312" t="s">
        <v>498</v>
      </c>
    </row>
    <row r="352" spans="1:1">
      <c r="A352" s="312" t="s">
        <v>499</v>
      </c>
    </row>
    <row r="353" spans="1:1">
      <c r="A353" s="312" t="s">
        <v>500</v>
      </c>
    </row>
    <row r="354" spans="1:1">
      <c r="A354" s="315" t="s">
        <v>1312</v>
      </c>
    </row>
    <row r="355" spans="1:1">
      <c r="A355" s="322" t="s">
        <v>501</v>
      </c>
    </row>
    <row r="356" spans="1:1">
      <c r="A356" s="312" t="s">
        <v>502</v>
      </c>
    </row>
    <row r="357" spans="1:1">
      <c r="A357" s="312" t="s">
        <v>503</v>
      </c>
    </row>
    <row r="358" spans="1:1">
      <c r="A358" s="312" t="s">
        <v>504</v>
      </c>
    </row>
    <row r="359" spans="1:1">
      <c r="A359" s="312" t="s">
        <v>505</v>
      </c>
    </row>
    <row r="360" spans="1:1">
      <c r="A360" s="312" t="s">
        <v>506</v>
      </c>
    </row>
    <row r="361" spans="1:1">
      <c r="A361" s="312" t="s">
        <v>507</v>
      </c>
    </row>
    <row r="362" spans="1:1">
      <c r="A362" s="312" t="s">
        <v>508</v>
      </c>
    </row>
    <row r="363" spans="1:1">
      <c r="A363" s="312" t="s">
        <v>509</v>
      </c>
    </row>
    <row r="364" spans="1:1">
      <c r="A364" s="312" t="s">
        <v>510</v>
      </c>
    </row>
    <row r="365" spans="1:1">
      <c r="A365" s="312" t="s">
        <v>511</v>
      </c>
    </row>
    <row r="366" spans="1:1">
      <c r="A366" s="322" t="s">
        <v>512</v>
      </c>
    </row>
    <row r="367" spans="1:1">
      <c r="A367" s="312" t="s">
        <v>513</v>
      </c>
    </row>
    <row r="368" spans="1:1">
      <c r="A368" s="312" t="s">
        <v>514</v>
      </c>
    </row>
    <row r="369" spans="1:1">
      <c r="A369" s="312" t="s">
        <v>515</v>
      </c>
    </row>
    <row r="370" spans="1:1">
      <c r="A370" s="312" t="s">
        <v>516</v>
      </c>
    </row>
    <row r="371" spans="1:1">
      <c r="A371" s="312" t="s">
        <v>517</v>
      </c>
    </row>
    <row r="372" spans="1:1">
      <c r="A372" s="312" t="s">
        <v>518</v>
      </c>
    </row>
    <row r="373" spans="1:1">
      <c r="A373" s="240" t="s">
        <v>519</v>
      </c>
    </row>
    <row r="374" spans="1:1">
      <c r="A374" s="322" t="s">
        <v>520</v>
      </c>
    </row>
    <row r="375" spans="1:1">
      <c r="A375" s="312" t="s">
        <v>521</v>
      </c>
    </row>
    <row r="376" spans="1:1">
      <c r="A376" s="312" t="s">
        <v>522</v>
      </c>
    </row>
    <row r="377" spans="1:1">
      <c r="A377" s="312" t="s">
        <v>523</v>
      </c>
    </row>
    <row r="378" spans="1:1">
      <c r="A378" s="312" t="s">
        <v>524</v>
      </c>
    </row>
    <row r="379" spans="1:1">
      <c r="A379" s="312" t="s">
        <v>525</v>
      </c>
    </row>
    <row r="380" spans="1:1">
      <c r="A380" s="312" t="s">
        <v>526</v>
      </c>
    </row>
    <row r="381" spans="1:1">
      <c r="A381" s="322" t="s">
        <v>527</v>
      </c>
    </row>
    <row r="382" spans="1:1">
      <c r="A382" s="312" t="s">
        <v>528</v>
      </c>
    </row>
    <row r="383" spans="1:1">
      <c r="A383" s="312" t="s">
        <v>529</v>
      </c>
    </row>
    <row r="384" spans="1:1">
      <c r="A384" s="322" t="s">
        <v>530</v>
      </c>
    </row>
    <row r="385" spans="1:1">
      <c r="A385" s="312" t="s">
        <v>531</v>
      </c>
    </row>
    <row r="386" spans="1:1">
      <c r="A386" s="312" t="s">
        <v>532</v>
      </c>
    </row>
    <row r="387" spans="1:1">
      <c r="A387" s="312" t="s">
        <v>533</v>
      </c>
    </row>
    <row r="388" spans="1:1">
      <c r="A388" s="312" t="s">
        <v>534</v>
      </c>
    </row>
    <row r="389" spans="1:1">
      <c r="A389" s="312" t="s">
        <v>535</v>
      </c>
    </row>
    <row r="390" spans="1:1">
      <c r="A390" s="312" t="s">
        <v>536</v>
      </c>
    </row>
    <row r="391" spans="1:1">
      <c r="A391" s="312" t="s">
        <v>537</v>
      </c>
    </row>
    <row r="392" spans="1:1">
      <c r="A392" s="312" t="s">
        <v>538</v>
      </c>
    </row>
    <row r="393" spans="1:1">
      <c r="A393" s="312" t="s">
        <v>539</v>
      </c>
    </row>
    <row r="394" spans="1:1">
      <c r="A394" s="312" t="s">
        <v>540</v>
      </c>
    </row>
    <row r="395" spans="1:1">
      <c r="A395" s="312" t="s">
        <v>541</v>
      </c>
    </row>
    <row r="396" spans="1:1">
      <c r="A396" s="315" t="s">
        <v>1332</v>
      </c>
    </row>
    <row r="397" spans="1:1">
      <c r="A397" s="322" t="s">
        <v>542</v>
      </c>
    </row>
    <row r="398" spans="1:1">
      <c r="A398" s="312" t="s">
        <v>543</v>
      </c>
    </row>
    <row r="399" spans="1:1">
      <c r="A399" s="312" t="s">
        <v>544</v>
      </c>
    </row>
    <row r="400" spans="1:1">
      <c r="A400" s="322" t="s">
        <v>545</v>
      </c>
    </row>
    <row r="401" spans="1:1">
      <c r="A401" s="312" t="s">
        <v>546</v>
      </c>
    </row>
    <row r="402" spans="1:1">
      <c r="A402" s="312" t="s">
        <v>547</v>
      </c>
    </row>
    <row r="403" spans="1:1">
      <c r="A403" s="312" t="s">
        <v>548</v>
      </c>
    </row>
    <row r="404" spans="1:1">
      <c r="A404" s="312" t="s">
        <v>549</v>
      </c>
    </row>
    <row r="405" spans="1:1">
      <c r="A405" s="312" t="s">
        <v>550</v>
      </c>
    </row>
    <row r="406" spans="1:1">
      <c r="A406" s="312" t="s">
        <v>551</v>
      </c>
    </row>
    <row r="407" spans="1:1">
      <c r="A407" s="312" t="s">
        <v>552</v>
      </c>
    </row>
    <row r="408" spans="1:1">
      <c r="A408" s="312" t="s">
        <v>553</v>
      </c>
    </row>
    <row r="409" spans="1:1">
      <c r="A409" s="312" t="s">
        <v>554</v>
      </c>
    </row>
    <row r="410" spans="1:1">
      <c r="A410" s="312" t="s">
        <v>555</v>
      </c>
    </row>
    <row r="411" spans="1:1">
      <c r="A411" s="312" t="s">
        <v>556</v>
      </c>
    </row>
    <row r="412" spans="1:1">
      <c r="A412" s="312" t="s">
        <v>557</v>
      </c>
    </row>
    <row r="413" spans="1:1">
      <c r="A413" s="312" t="s">
        <v>558</v>
      </c>
    </row>
    <row r="414" spans="1:1">
      <c r="A414" s="312" t="s">
        <v>559</v>
      </c>
    </row>
    <row r="415" spans="1:1">
      <c r="A415" s="312" t="s">
        <v>560</v>
      </c>
    </row>
    <row r="416" spans="1:1">
      <c r="A416" s="312" t="s">
        <v>561</v>
      </c>
    </row>
    <row r="417" spans="1:1">
      <c r="A417" s="312" t="s">
        <v>562</v>
      </c>
    </row>
    <row r="418" spans="1:1">
      <c r="A418" s="312" t="s">
        <v>563</v>
      </c>
    </row>
    <row r="419" spans="1:1">
      <c r="A419" s="312" t="s">
        <v>564</v>
      </c>
    </row>
    <row r="420" spans="1:1">
      <c r="A420" s="312" t="s">
        <v>565</v>
      </c>
    </row>
    <row r="421" spans="1:1">
      <c r="A421" s="312" t="s">
        <v>566</v>
      </c>
    </row>
    <row r="422" spans="1:1">
      <c r="A422" s="312" t="s">
        <v>567</v>
      </c>
    </row>
    <row r="423" spans="1:1">
      <c r="A423" s="312" t="s">
        <v>568</v>
      </c>
    </row>
    <row r="424" spans="1:1">
      <c r="A424" s="312" t="s">
        <v>569</v>
      </c>
    </row>
    <row r="425" spans="1:1">
      <c r="A425" s="312" t="s">
        <v>570</v>
      </c>
    </row>
    <row r="426" spans="1:1">
      <c r="A426" s="312" t="s">
        <v>571</v>
      </c>
    </row>
    <row r="427" spans="1:1">
      <c r="A427" s="312" t="s">
        <v>572</v>
      </c>
    </row>
    <row r="428" spans="1:1">
      <c r="A428" s="312" t="s">
        <v>573</v>
      </c>
    </row>
    <row r="429" spans="1:1">
      <c r="A429" s="312" t="s">
        <v>574</v>
      </c>
    </row>
    <row r="430" spans="1:1">
      <c r="A430" s="312" t="s">
        <v>575</v>
      </c>
    </row>
    <row r="431" spans="1:1">
      <c r="A431" s="312" t="s">
        <v>576</v>
      </c>
    </row>
    <row r="432" spans="1:1">
      <c r="A432" s="322" t="s">
        <v>577</v>
      </c>
    </row>
    <row r="433" spans="1:1">
      <c r="A433" s="312" t="s">
        <v>578</v>
      </c>
    </row>
    <row r="434" spans="1:1">
      <c r="A434" s="322" t="s">
        <v>579</v>
      </c>
    </row>
    <row r="435" spans="1:1">
      <c r="A435" s="312" t="s">
        <v>580</v>
      </c>
    </row>
    <row r="436" spans="1:1">
      <c r="A436" s="312" t="s">
        <v>581</v>
      </c>
    </row>
    <row r="437" spans="1:1">
      <c r="A437" s="322" t="s">
        <v>582</v>
      </c>
    </row>
    <row r="438" spans="1:1">
      <c r="A438" s="312" t="s">
        <v>583</v>
      </c>
    </row>
    <row r="439" spans="1:1">
      <c r="A439" s="322" t="s">
        <v>584</v>
      </c>
    </row>
    <row r="440" spans="1:1">
      <c r="A440" s="312" t="s">
        <v>585</v>
      </c>
    </row>
    <row r="441" spans="1:1">
      <c r="A441" s="312" t="s">
        <v>586</v>
      </c>
    </row>
    <row r="442" spans="1:1">
      <c r="A442" s="312" t="s">
        <v>587</v>
      </c>
    </row>
    <row r="443" spans="1:1">
      <c r="A443" s="312" t="s">
        <v>588</v>
      </c>
    </row>
    <row r="444" spans="1:1">
      <c r="A444" s="312" t="s">
        <v>589</v>
      </c>
    </row>
    <row r="445" spans="1:1">
      <c r="A445" s="312" t="s">
        <v>590</v>
      </c>
    </row>
    <row r="446" spans="1:1">
      <c r="A446" s="312" t="s">
        <v>591</v>
      </c>
    </row>
    <row r="447" spans="1:1">
      <c r="A447" s="312" t="s">
        <v>592</v>
      </c>
    </row>
    <row r="448" spans="1:1">
      <c r="A448" s="312" t="s">
        <v>593</v>
      </c>
    </row>
    <row r="449" spans="1:1">
      <c r="A449" s="312" t="s">
        <v>594</v>
      </c>
    </row>
    <row r="450" spans="1:1">
      <c r="A450" s="312" t="s">
        <v>595</v>
      </c>
    </row>
    <row r="451" spans="1:1">
      <c r="A451" s="312" t="s">
        <v>596</v>
      </c>
    </row>
    <row r="452" spans="1:1">
      <c r="A452" s="312" t="s">
        <v>597</v>
      </c>
    </row>
    <row r="453" spans="1:1">
      <c r="A453" s="312" t="s">
        <v>598</v>
      </c>
    </row>
    <row r="454" spans="1:1">
      <c r="A454" s="322" t="s">
        <v>599</v>
      </c>
    </row>
    <row r="455" spans="1:1">
      <c r="A455" s="312" t="s">
        <v>600</v>
      </c>
    </row>
    <row r="456" spans="1:1">
      <c r="A456" s="322" t="s">
        <v>601</v>
      </c>
    </row>
    <row r="457" spans="1:1">
      <c r="A457" s="312" t="s">
        <v>602</v>
      </c>
    </row>
    <row r="458" spans="1:1">
      <c r="A458" s="312" t="s">
        <v>603</v>
      </c>
    </row>
    <row r="459" spans="1:1">
      <c r="A459" s="312" t="s">
        <v>604</v>
      </c>
    </row>
    <row r="460" spans="1:1">
      <c r="A460" s="312" t="s">
        <v>605</v>
      </c>
    </row>
    <row r="461" spans="1:1">
      <c r="A461" s="312" t="s">
        <v>606</v>
      </c>
    </row>
    <row r="462" spans="1:1">
      <c r="A462" s="312" t="s">
        <v>607</v>
      </c>
    </row>
    <row r="463" spans="1:1">
      <c r="A463" s="312" t="s">
        <v>608</v>
      </c>
    </row>
    <row r="464" spans="1:1">
      <c r="A464" s="312" t="s">
        <v>609</v>
      </c>
    </row>
    <row r="465" spans="1:1">
      <c r="A465" s="312" t="s">
        <v>610</v>
      </c>
    </row>
    <row r="466" spans="1:1">
      <c r="A466" s="322" t="s">
        <v>611</v>
      </c>
    </row>
    <row r="467" spans="1:1">
      <c r="A467" s="312" t="s">
        <v>612</v>
      </c>
    </row>
    <row r="468" spans="1:1">
      <c r="A468" s="312" t="s">
        <v>613</v>
      </c>
    </row>
    <row r="469" spans="1:1">
      <c r="A469" s="322" t="s">
        <v>614</v>
      </c>
    </row>
    <row r="470" spans="1:1">
      <c r="A470" s="312" t="s">
        <v>615</v>
      </c>
    </row>
    <row r="471" spans="1:1">
      <c r="A471" s="312" t="s">
        <v>616</v>
      </c>
    </row>
    <row r="472" spans="1:1">
      <c r="A472" s="312" t="s">
        <v>617</v>
      </c>
    </row>
    <row r="473" spans="1:1">
      <c r="A473" s="312" t="s">
        <v>618</v>
      </c>
    </row>
    <row r="474" spans="1:1">
      <c r="A474" s="312" t="s">
        <v>619</v>
      </c>
    </row>
    <row r="475" spans="1:1">
      <c r="A475" s="312" t="s">
        <v>620</v>
      </c>
    </row>
    <row r="476" spans="1:1">
      <c r="A476" s="322" t="s">
        <v>621</v>
      </c>
    </row>
    <row r="477" spans="1:1">
      <c r="A477" s="312" t="s">
        <v>622</v>
      </c>
    </row>
    <row r="478" spans="1:1">
      <c r="A478" s="322" t="s">
        <v>623</v>
      </c>
    </row>
    <row r="479" spans="1:1">
      <c r="A479" s="312" t="s">
        <v>1345</v>
      </c>
    </row>
    <row r="480" spans="1:1">
      <c r="A480" s="312" t="s">
        <v>624</v>
      </c>
    </row>
    <row r="481" spans="1:1">
      <c r="A481" s="312" t="s">
        <v>625</v>
      </c>
    </row>
    <row r="482" spans="1:1">
      <c r="A482" s="312" t="s">
        <v>626</v>
      </c>
    </row>
    <row r="483" spans="1:1">
      <c r="A483" s="312" t="s">
        <v>627</v>
      </c>
    </row>
    <row r="484" spans="1:1">
      <c r="A484" s="312" t="s">
        <v>628</v>
      </c>
    </row>
    <row r="485" spans="1:1">
      <c r="A485" s="312" t="s">
        <v>629</v>
      </c>
    </row>
    <row r="486" spans="1:1">
      <c r="A486" s="312" t="s">
        <v>630</v>
      </c>
    </row>
    <row r="487" spans="1:1">
      <c r="A487" s="312" t="s">
        <v>631</v>
      </c>
    </row>
    <row r="488" spans="1:1">
      <c r="A488" s="323" t="s">
        <v>632</v>
      </c>
    </row>
    <row r="489" spans="1:1">
      <c r="A489" s="312" t="s">
        <v>633</v>
      </c>
    </row>
    <row r="490" spans="1:1">
      <c r="A490" s="312" t="s">
        <v>634</v>
      </c>
    </row>
    <row r="491" spans="1:1">
      <c r="A491" s="312" t="s">
        <v>635</v>
      </c>
    </row>
    <row r="492" spans="1:1">
      <c r="A492" s="312" t="s">
        <v>636</v>
      </c>
    </row>
    <row r="493" spans="1:1">
      <c r="A493" s="312" t="s">
        <v>637</v>
      </c>
    </row>
    <row r="494" spans="1:1">
      <c r="A494" s="312" t="s">
        <v>638</v>
      </c>
    </row>
    <row r="495" spans="1:1">
      <c r="A495" s="312" t="s">
        <v>639</v>
      </c>
    </row>
    <row r="496" spans="1:1">
      <c r="A496" s="312" t="s">
        <v>640</v>
      </c>
    </row>
    <row r="497" spans="1:1">
      <c r="A497" s="312" t="s">
        <v>641</v>
      </c>
    </row>
    <row r="498" spans="1:1">
      <c r="A498" s="312" t="s">
        <v>642</v>
      </c>
    </row>
    <row r="499" spans="1:1">
      <c r="A499" s="312" t="s">
        <v>643</v>
      </c>
    </row>
    <row r="500" spans="1:1">
      <c r="A500" s="312" t="s">
        <v>644</v>
      </c>
    </row>
    <row r="501" spans="1:1">
      <c r="A501" s="312" t="s">
        <v>645</v>
      </c>
    </row>
    <row r="502" spans="1:1">
      <c r="A502" s="317" t="s">
        <v>646</v>
      </c>
    </row>
    <row r="503" spans="1:1">
      <c r="A503" s="312" t="s">
        <v>647</v>
      </c>
    </row>
    <row r="504" spans="1:1">
      <c r="A504" s="312" t="s">
        <v>648</v>
      </c>
    </row>
    <row r="505" spans="1:1">
      <c r="A505" s="312" t="s">
        <v>649</v>
      </c>
    </row>
    <row r="506" spans="1:1">
      <c r="A506" s="312" t="s">
        <v>650</v>
      </c>
    </row>
    <row r="507" spans="1:1">
      <c r="A507" s="312" t="s">
        <v>651</v>
      </c>
    </row>
    <row r="508" spans="1:1">
      <c r="A508" s="312" t="s">
        <v>652</v>
      </c>
    </row>
    <row r="509" spans="1:1">
      <c r="A509" s="312" t="s">
        <v>653</v>
      </c>
    </row>
    <row r="510" spans="1:1">
      <c r="A510" s="312" t="s">
        <v>654</v>
      </c>
    </row>
    <row r="511" spans="1:1">
      <c r="A511" s="312" t="s">
        <v>655</v>
      </c>
    </row>
    <row r="512" spans="1:1">
      <c r="A512" s="312" t="s">
        <v>656</v>
      </c>
    </row>
    <row r="513" spans="1:1">
      <c r="A513" s="312" t="s">
        <v>657</v>
      </c>
    </row>
    <row r="514" spans="1:1">
      <c r="A514" s="312" t="s">
        <v>658</v>
      </c>
    </row>
    <row r="515" spans="1:1">
      <c r="A515" s="312" t="s">
        <v>659</v>
      </c>
    </row>
    <row r="516" spans="1:1">
      <c r="A516" s="312" t="s">
        <v>660</v>
      </c>
    </row>
    <row r="517" spans="1:1">
      <c r="A517" s="312" t="s">
        <v>661</v>
      </c>
    </row>
    <row r="518" spans="1:1">
      <c r="A518" s="312" t="s">
        <v>662</v>
      </c>
    </row>
    <row r="519" spans="1:1">
      <c r="A519" s="312" t="s">
        <v>663</v>
      </c>
    </row>
    <row r="520" spans="1:1">
      <c r="A520" s="312" t="s">
        <v>664</v>
      </c>
    </row>
    <row r="521" spans="1:1">
      <c r="A521" s="312" t="s">
        <v>665</v>
      </c>
    </row>
    <row r="522" spans="1:1">
      <c r="A522" s="312" t="s">
        <v>666</v>
      </c>
    </row>
    <row r="523" spans="1:1">
      <c r="A523" s="312" t="s">
        <v>667</v>
      </c>
    </row>
    <row r="524" spans="1:1">
      <c r="A524" s="312" t="s">
        <v>668</v>
      </c>
    </row>
    <row r="525" spans="1:1">
      <c r="A525" s="312" t="s">
        <v>669</v>
      </c>
    </row>
    <row r="526" spans="1:1">
      <c r="A526" s="312" t="s">
        <v>670</v>
      </c>
    </row>
    <row r="527" spans="1:1">
      <c r="A527" s="312" t="s">
        <v>671</v>
      </c>
    </row>
    <row r="528" spans="1:1">
      <c r="A528" s="312" t="s">
        <v>672</v>
      </c>
    </row>
    <row r="529" spans="1:1">
      <c r="A529" s="312" t="s">
        <v>673</v>
      </c>
    </row>
    <row r="530" spans="1:1">
      <c r="A530" s="312" t="s">
        <v>674</v>
      </c>
    </row>
    <row r="531" spans="1:1">
      <c r="A531" s="312" t="s">
        <v>675</v>
      </c>
    </row>
    <row r="532" spans="1:1">
      <c r="A532" s="312" t="s">
        <v>676</v>
      </c>
    </row>
    <row r="533" spans="1:1">
      <c r="A533" s="312" t="s">
        <v>677</v>
      </c>
    </row>
    <row r="534" spans="1:1">
      <c r="A534" s="312" t="s">
        <v>678</v>
      </c>
    </row>
    <row r="535" spans="1:1">
      <c r="A535" s="312" t="s">
        <v>679</v>
      </c>
    </row>
    <row r="536" spans="1:1">
      <c r="A536" s="317" t="s">
        <v>680</v>
      </c>
    </row>
    <row r="537" spans="1:1">
      <c r="A537" s="312" t="s">
        <v>681</v>
      </c>
    </row>
    <row r="538" spans="1:1">
      <c r="A538" s="312" t="s">
        <v>682</v>
      </c>
    </row>
    <row r="539" spans="1:1">
      <c r="A539" s="312" t="s">
        <v>683</v>
      </c>
    </row>
    <row r="540" spans="1:1">
      <c r="A540" s="312" t="s">
        <v>684</v>
      </c>
    </row>
    <row r="541" spans="1:1">
      <c r="A541" s="317" t="s">
        <v>685</v>
      </c>
    </row>
    <row r="542" spans="1:1">
      <c r="A542" s="312" t="s">
        <v>686</v>
      </c>
    </row>
    <row r="543" spans="1:1">
      <c r="A543" s="312" t="s">
        <v>687</v>
      </c>
    </row>
    <row r="544" spans="1:1">
      <c r="A544" s="312" t="s">
        <v>688</v>
      </c>
    </row>
    <row r="545" spans="1:1">
      <c r="A545" s="324" t="s">
        <v>689</v>
      </c>
    </row>
    <row r="546" spans="1:1">
      <c r="A546" s="324" t="s">
        <v>690</v>
      </c>
    </row>
    <row r="547" spans="1:1">
      <c r="A547" s="324" t="s">
        <v>691</v>
      </c>
    </row>
    <row r="548" spans="1:1">
      <c r="A548" s="324" t="s">
        <v>692</v>
      </c>
    </row>
    <row r="549" spans="1:1">
      <c r="A549" s="312" t="s">
        <v>693</v>
      </c>
    </row>
    <row r="550" spans="1:1">
      <c r="A550" s="312" t="s">
        <v>694</v>
      </c>
    </row>
    <row r="551" spans="1:1">
      <c r="A551" s="312" t="s">
        <v>695</v>
      </c>
    </row>
    <row r="552" spans="1:1">
      <c r="A552" s="312" t="s">
        <v>696</v>
      </c>
    </row>
    <row r="553" spans="1:1">
      <c r="A553" s="312" t="s">
        <v>697</v>
      </c>
    </row>
    <row r="554" spans="1:1">
      <c r="A554" s="312" t="s">
        <v>698</v>
      </c>
    </row>
    <row r="555" spans="1:1">
      <c r="A555" s="312" t="s">
        <v>699</v>
      </c>
    </row>
    <row r="556" spans="1:1">
      <c r="A556" s="312" t="s">
        <v>700</v>
      </c>
    </row>
    <row r="557" spans="1:1">
      <c r="A557" s="312" t="s">
        <v>701</v>
      </c>
    </row>
    <row r="558" spans="1:1">
      <c r="A558" s="312" t="s">
        <v>702</v>
      </c>
    </row>
    <row r="559" spans="1:1">
      <c r="A559" s="312" t="s">
        <v>703</v>
      </c>
    </row>
    <row r="560" spans="1:1">
      <c r="A560" s="312" t="s">
        <v>1313</v>
      </c>
    </row>
    <row r="561" spans="1:1">
      <c r="A561" s="315" t="s">
        <v>1333</v>
      </c>
    </row>
    <row r="562" spans="1:1">
      <c r="A562" s="322" t="s">
        <v>704</v>
      </c>
    </row>
    <row r="563" spans="1:1">
      <c r="A563" s="312" t="s">
        <v>705</v>
      </c>
    </row>
    <row r="564" spans="1:1">
      <c r="A564" s="312" t="s">
        <v>706</v>
      </c>
    </row>
    <row r="565" spans="1:1">
      <c r="A565" s="312" t="s">
        <v>707</v>
      </c>
    </row>
    <row r="566" spans="1:1">
      <c r="A566" s="312" t="s">
        <v>708</v>
      </c>
    </row>
    <row r="567" spans="1:1">
      <c r="A567" s="312" t="s">
        <v>709</v>
      </c>
    </row>
    <row r="568" spans="1:1">
      <c r="A568" s="312" t="s">
        <v>710</v>
      </c>
    </row>
    <row r="569" spans="1:1">
      <c r="A569" s="312" t="s">
        <v>711</v>
      </c>
    </row>
    <row r="570" spans="1:1">
      <c r="A570" s="312" t="s">
        <v>712</v>
      </c>
    </row>
    <row r="571" spans="1:1">
      <c r="A571" s="312" t="s">
        <v>713</v>
      </c>
    </row>
    <row r="572" spans="1:1">
      <c r="A572" s="312" t="s">
        <v>714</v>
      </c>
    </row>
    <row r="573" spans="1:1">
      <c r="A573" s="312" t="s">
        <v>715</v>
      </c>
    </row>
    <row r="574" spans="1:1">
      <c r="A574" s="312" t="s">
        <v>716</v>
      </c>
    </row>
    <row r="575" spans="1:1">
      <c r="A575" s="312" t="s">
        <v>717</v>
      </c>
    </row>
    <row r="576" spans="1:1">
      <c r="A576" s="312" t="s">
        <v>718</v>
      </c>
    </row>
    <row r="577" spans="1:1">
      <c r="A577" s="312" t="s">
        <v>719</v>
      </c>
    </row>
    <row r="578" spans="1:1">
      <c r="A578" s="312" t="s">
        <v>720</v>
      </c>
    </row>
    <row r="579" spans="1:1">
      <c r="A579" s="322" t="s">
        <v>721</v>
      </c>
    </row>
    <row r="580" spans="1:1">
      <c r="A580" s="312" t="s">
        <v>722</v>
      </c>
    </row>
    <row r="581" spans="1:1">
      <c r="A581" s="312" t="s">
        <v>723</v>
      </c>
    </row>
    <row r="582" spans="1:1">
      <c r="A582" s="312" t="s">
        <v>724</v>
      </c>
    </row>
    <row r="583" spans="1:1">
      <c r="A583" s="312" t="s">
        <v>725</v>
      </c>
    </row>
    <row r="584" spans="1:1">
      <c r="A584" s="312" t="s">
        <v>726</v>
      </c>
    </row>
    <row r="585" spans="1:1">
      <c r="A585" s="312" t="s">
        <v>727</v>
      </c>
    </row>
    <row r="586" spans="1:1">
      <c r="A586" s="312" t="s">
        <v>728</v>
      </c>
    </row>
    <row r="587" spans="1:1">
      <c r="A587" s="312" t="s">
        <v>729</v>
      </c>
    </row>
    <row r="588" spans="1:1">
      <c r="A588" s="312" t="s">
        <v>730</v>
      </c>
    </row>
    <row r="589" spans="1:1">
      <c r="A589" s="312" t="s">
        <v>731</v>
      </c>
    </row>
    <row r="590" spans="1:1">
      <c r="A590" s="312" t="s">
        <v>732</v>
      </c>
    </row>
    <row r="591" spans="1:1">
      <c r="A591" s="312" t="s">
        <v>733</v>
      </c>
    </row>
    <row r="592" spans="1:1">
      <c r="A592" s="312" t="s">
        <v>734</v>
      </c>
    </row>
    <row r="593" spans="1:1">
      <c r="A593" s="312" t="s">
        <v>735</v>
      </c>
    </row>
    <row r="594" spans="1:1">
      <c r="A594" s="312" t="s">
        <v>736</v>
      </c>
    </row>
    <row r="595" spans="1:1">
      <c r="A595" s="312" t="s">
        <v>737</v>
      </c>
    </row>
    <row r="596" spans="1:1">
      <c r="A596" s="312" t="s">
        <v>738</v>
      </c>
    </row>
    <row r="597" spans="1:1">
      <c r="A597" s="312" t="s">
        <v>739</v>
      </c>
    </row>
    <row r="598" spans="1:1">
      <c r="A598" s="312" t="s">
        <v>740</v>
      </c>
    </row>
    <row r="599" spans="1:1">
      <c r="A599" s="312" t="s">
        <v>741</v>
      </c>
    </row>
    <row r="600" spans="1:1">
      <c r="A600" s="312" t="s">
        <v>742</v>
      </c>
    </row>
    <row r="601" spans="1:1">
      <c r="A601" s="312" t="s">
        <v>743</v>
      </c>
    </row>
    <row r="602" spans="1:1">
      <c r="A602" s="312" t="s">
        <v>744</v>
      </c>
    </row>
    <row r="603" spans="1:1">
      <c r="A603" s="312" t="s">
        <v>745</v>
      </c>
    </row>
    <row r="604" spans="1:1">
      <c r="A604" s="312" t="s">
        <v>746</v>
      </c>
    </row>
    <row r="605" spans="1:1">
      <c r="A605" s="312" t="s">
        <v>747</v>
      </c>
    </row>
    <row r="606" spans="1:1">
      <c r="A606" s="312" t="s">
        <v>748</v>
      </c>
    </row>
    <row r="607" spans="1:1">
      <c r="A607" s="312" t="s">
        <v>749</v>
      </c>
    </row>
    <row r="608" spans="1:1">
      <c r="A608" s="312" t="s">
        <v>750</v>
      </c>
    </row>
    <row r="609" spans="1:1">
      <c r="A609" s="312" t="s">
        <v>751</v>
      </c>
    </row>
    <row r="610" spans="1:1">
      <c r="A610" s="312" t="s">
        <v>752</v>
      </c>
    </row>
    <row r="611" spans="1:1">
      <c r="A611" s="312" t="s">
        <v>753</v>
      </c>
    </row>
    <row r="612" spans="1:1">
      <c r="A612" s="312" t="s">
        <v>754</v>
      </c>
    </row>
    <row r="613" spans="1:1">
      <c r="A613" s="312" t="s">
        <v>755</v>
      </c>
    </row>
    <row r="614" spans="1:1">
      <c r="A614" s="312" t="s">
        <v>756</v>
      </c>
    </row>
    <row r="615" spans="1:1">
      <c r="A615" s="312" t="s">
        <v>757</v>
      </c>
    </row>
    <row r="616" spans="1:1">
      <c r="A616" s="312" t="s">
        <v>758</v>
      </c>
    </row>
    <row r="617" spans="1:1">
      <c r="A617" s="312" t="s">
        <v>759</v>
      </c>
    </row>
    <row r="618" spans="1:1">
      <c r="A618" s="312" t="s">
        <v>760</v>
      </c>
    </row>
    <row r="619" spans="1:1">
      <c r="A619" s="312" t="s">
        <v>761</v>
      </c>
    </row>
    <row r="620" spans="1:1">
      <c r="A620" s="312" t="s">
        <v>762</v>
      </c>
    </row>
    <row r="621" spans="1:1">
      <c r="A621" s="312" t="s">
        <v>763</v>
      </c>
    </row>
    <row r="622" spans="1:1">
      <c r="A622" s="312" t="s">
        <v>764</v>
      </c>
    </row>
    <row r="623" spans="1:1">
      <c r="A623" s="312" t="s">
        <v>765</v>
      </c>
    </row>
    <row r="624" spans="1:1">
      <c r="A624" s="312" t="s">
        <v>766</v>
      </c>
    </row>
    <row r="625" spans="1:1">
      <c r="A625" s="312" t="s">
        <v>767</v>
      </c>
    </row>
    <row r="626" spans="1:1">
      <c r="A626" s="312" t="s">
        <v>768</v>
      </c>
    </row>
    <row r="627" spans="1:1">
      <c r="A627" s="312" t="s">
        <v>769</v>
      </c>
    </row>
    <row r="628" spans="1:1">
      <c r="A628" s="312" t="s">
        <v>770</v>
      </c>
    </row>
    <row r="629" spans="1:1">
      <c r="A629" s="312" t="s">
        <v>771</v>
      </c>
    </row>
    <row r="630" spans="1:1">
      <c r="A630" s="312" t="s">
        <v>772</v>
      </c>
    </row>
    <row r="631" spans="1:1">
      <c r="A631" s="312" t="s">
        <v>773</v>
      </c>
    </row>
    <row r="632" spans="1:1">
      <c r="A632" s="312" t="s">
        <v>774</v>
      </c>
    </row>
    <row r="633" spans="1:1">
      <c r="A633" s="312" t="s">
        <v>775</v>
      </c>
    </row>
    <row r="634" spans="1:1">
      <c r="A634" s="312" t="s">
        <v>776</v>
      </c>
    </row>
    <row r="635" spans="1:1">
      <c r="A635" s="312" t="s">
        <v>777</v>
      </c>
    </row>
    <row r="636" spans="1:1">
      <c r="A636" s="312" t="s">
        <v>778</v>
      </c>
    </row>
    <row r="637" spans="1:1">
      <c r="A637" s="312" t="s">
        <v>779</v>
      </c>
    </row>
    <row r="638" spans="1:1">
      <c r="A638" s="312" t="s">
        <v>780</v>
      </c>
    </row>
    <row r="639" spans="1:1">
      <c r="A639" s="312" t="s">
        <v>781</v>
      </c>
    </row>
    <row r="640" spans="1:1">
      <c r="A640" s="312" t="s">
        <v>782</v>
      </c>
    </row>
    <row r="641" spans="1:1">
      <c r="A641" s="312" t="s">
        <v>783</v>
      </c>
    </row>
    <row r="642" spans="1:1">
      <c r="A642" s="312" t="s">
        <v>784</v>
      </c>
    </row>
    <row r="643" spans="1:1">
      <c r="A643" s="312" t="s">
        <v>785</v>
      </c>
    </row>
    <row r="644" spans="1:1">
      <c r="A644" s="312" t="s">
        <v>786</v>
      </c>
    </row>
    <row r="645" spans="1:1">
      <c r="A645" s="312" t="s">
        <v>787</v>
      </c>
    </row>
    <row r="646" spans="1:1">
      <c r="A646" s="312" t="s">
        <v>788</v>
      </c>
    </row>
    <row r="647" spans="1:1">
      <c r="A647" s="317" t="s">
        <v>789</v>
      </c>
    </row>
    <row r="648" spans="1:1">
      <c r="A648" s="312" t="s">
        <v>790</v>
      </c>
    </row>
    <row r="649" spans="1:1">
      <c r="A649" s="312" t="s">
        <v>791</v>
      </c>
    </row>
    <row r="650" spans="1:1">
      <c r="A650" s="312" t="s">
        <v>792</v>
      </c>
    </row>
    <row r="651" spans="1:1">
      <c r="A651" s="312" t="s">
        <v>793</v>
      </c>
    </row>
    <row r="652" spans="1:1">
      <c r="A652" s="312" t="s">
        <v>794</v>
      </c>
    </row>
    <row r="653" spans="1:1">
      <c r="A653" s="312" t="s">
        <v>795</v>
      </c>
    </row>
    <row r="654" spans="1:1">
      <c r="A654" s="312" t="s">
        <v>796</v>
      </c>
    </row>
    <row r="655" spans="1:1">
      <c r="A655" s="312" t="s">
        <v>797</v>
      </c>
    </row>
    <row r="656" spans="1:1">
      <c r="A656" s="312" t="s">
        <v>798</v>
      </c>
    </row>
    <row r="657" spans="1:1">
      <c r="A657" s="312" t="s">
        <v>799</v>
      </c>
    </row>
    <row r="658" spans="1:1">
      <c r="A658" s="312" t="s">
        <v>800</v>
      </c>
    </row>
    <row r="659" spans="1:1">
      <c r="A659" s="317" t="s">
        <v>801</v>
      </c>
    </row>
    <row r="660" spans="1:1">
      <c r="A660" s="317" t="s">
        <v>802</v>
      </c>
    </row>
    <row r="661" spans="1:1">
      <c r="A661" s="312" t="s">
        <v>803</v>
      </c>
    </row>
    <row r="662" spans="1:1">
      <c r="A662" s="312" t="s">
        <v>804</v>
      </c>
    </row>
    <row r="663" spans="1:1">
      <c r="A663" s="312" t="s">
        <v>805</v>
      </c>
    </row>
    <row r="664" spans="1:1">
      <c r="A664" s="312" t="s">
        <v>806</v>
      </c>
    </row>
    <row r="665" spans="1:1">
      <c r="A665" s="312" t="s">
        <v>807</v>
      </c>
    </row>
    <row r="666" spans="1:1">
      <c r="A666" s="312" t="s">
        <v>808</v>
      </c>
    </row>
    <row r="667" spans="1:1">
      <c r="A667" s="312" t="s">
        <v>809</v>
      </c>
    </row>
    <row r="668" spans="1:1">
      <c r="A668" s="312" t="s">
        <v>810</v>
      </c>
    </row>
    <row r="669" spans="1:1">
      <c r="A669" s="312" t="s">
        <v>811</v>
      </c>
    </row>
    <row r="670" spans="1:1">
      <c r="A670" s="312" t="s">
        <v>812</v>
      </c>
    </row>
    <row r="671" spans="1:1">
      <c r="A671" s="312" t="s">
        <v>813</v>
      </c>
    </row>
    <row r="672" spans="1:1">
      <c r="A672" s="312" t="s">
        <v>814</v>
      </c>
    </row>
    <row r="673" spans="1:1">
      <c r="A673" s="312" t="s">
        <v>815</v>
      </c>
    </row>
    <row r="674" spans="1:1">
      <c r="A674" s="312" t="s">
        <v>816</v>
      </c>
    </row>
    <row r="675" spans="1:1">
      <c r="A675" s="312" t="s">
        <v>817</v>
      </c>
    </row>
    <row r="676" spans="1:1">
      <c r="A676" s="312" t="s">
        <v>818</v>
      </c>
    </row>
    <row r="677" spans="1:1">
      <c r="A677" s="312" t="s">
        <v>819</v>
      </c>
    </row>
    <row r="678" spans="1:1">
      <c r="A678" s="312" t="s">
        <v>820</v>
      </c>
    </row>
    <row r="679" spans="1:1">
      <c r="A679" s="312" t="s">
        <v>821</v>
      </c>
    </row>
    <row r="680" spans="1:1">
      <c r="A680" s="312" t="s">
        <v>822</v>
      </c>
    </row>
    <row r="681" spans="1:1">
      <c r="A681" s="312" t="s">
        <v>823</v>
      </c>
    </row>
    <row r="682" spans="1:1">
      <c r="A682" s="312" t="s">
        <v>824</v>
      </c>
    </row>
    <row r="683" spans="1:1">
      <c r="A683" s="312" t="s">
        <v>825</v>
      </c>
    </row>
    <row r="684" spans="1:1">
      <c r="A684" s="312" t="s">
        <v>826</v>
      </c>
    </row>
    <row r="685" spans="1:1">
      <c r="A685" s="312" t="s">
        <v>827</v>
      </c>
    </row>
    <row r="686" spans="1:1">
      <c r="A686" s="312" t="s">
        <v>828</v>
      </c>
    </row>
    <row r="687" spans="1:1">
      <c r="A687" s="312" t="s">
        <v>829</v>
      </c>
    </row>
    <row r="688" spans="1:1">
      <c r="A688" s="312" t="s">
        <v>830</v>
      </c>
    </row>
    <row r="689" spans="1:1">
      <c r="A689" s="312" t="s">
        <v>831</v>
      </c>
    </row>
    <row r="690" spans="1:1">
      <c r="A690" s="312" t="s">
        <v>832</v>
      </c>
    </row>
    <row r="691" spans="1:1">
      <c r="A691" s="312" t="s">
        <v>833</v>
      </c>
    </row>
    <row r="692" spans="1:1">
      <c r="A692" s="312" t="s">
        <v>834</v>
      </c>
    </row>
    <row r="693" spans="1:1">
      <c r="A693" s="312" t="s">
        <v>835</v>
      </c>
    </row>
    <row r="694" spans="1:1">
      <c r="A694" s="312" t="s">
        <v>836</v>
      </c>
    </row>
    <row r="695" spans="1:1">
      <c r="A695" s="312" t="s">
        <v>837</v>
      </c>
    </row>
    <row r="696" spans="1:1">
      <c r="A696" s="312" t="s">
        <v>838</v>
      </c>
    </row>
    <row r="697" spans="1:1">
      <c r="A697" s="312" t="s">
        <v>839</v>
      </c>
    </row>
    <row r="698" spans="1:1">
      <c r="A698" s="312" t="s">
        <v>840</v>
      </c>
    </row>
    <row r="699" spans="1:1">
      <c r="A699" s="312" t="s">
        <v>841</v>
      </c>
    </row>
    <row r="700" spans="1:1">
      <c r="A700" s="312" t="s">
        <v>842</v>
      </c>
    </row>
    <row r="701" spans="1:1">
      <c r="A701" s="312" t="s">
        <v>843</v>
      </c>
    </row>
    <row r="702" spans="1:1">
      <c r="A702" s="312" t="s">
        <v>844</v>
      </c>
    </row>
    <row r="703" spans="1:1">
      <c r="A703" s="312" t="s">
        <v>845</v>
      </c>
    </row>
    <row r="704" spans="1:1">
      <c r="A704" s="312" t="s">
        <v>846</v>
      </c>
    </row>
    <row r="705" spans="1:1">
      <c r="A705" s="312" t="s">
        <v>847</v>
      </c>
    </row>
    <row r="706" spans="1:1">
      <c r="A706" s="312" t="s">
        <v>848</v>
      </c>
    </row>
    <row r="707" spans="1:1">
      <c r="A707" s="312" t="s">
        <v>849</v>
      </c>
    </row>
    <row r="708" spans="1:1">
      <c r="A708" s="312" t="s">
        <v>850</v>
      </c>
    </row>
    <row r="709" spans="1:1">
      <c r="A709" s="312" t="s">
        <v>851</v>
      </c>
    </row>
    <row r="710" spans="1:1">
      <c r="A710" s="312" t="s">
        <v>852</v>
      </c>
    </row>
    <row r="711" spans="1:1">
      <c r="A711" s="312" t="s">
        <v>853</v>
      </c>
    </row>
    <row r="712" spans="1:1">
      <c r="A712" s="317" t="s">
        <v>854</v>
      </c>
    </row>
    <row r="713" spans="1:1">
      <c r="A713" s="312" t="s">
        <v>855</v>
      </c>
    </row>
    <row r="714" spans="1:1">
      <c r="A714" s="312" t="s">
        <v>856</v>
      </c>
    </row>
    <row r="715" spans="1:1">
      <c r="A715" s="312" t="s">
        <v>857</v>
      </c>
    </row>
    <row r="716" spans="1:1">
      <c r="A716" s="312" t="s">
        <v>858</v>
      </c>
    </row>
    <row r="717" spans="1:1">
      <c r="A717" s="312" t="s">
        <v>859</v>
      </c>
    </row>
    <row r="718" spans="1:1">
      <c r="A718" s="312" t="s">
        <v>860</v>
      </c>
    </row>
    <row r="719" spans="1:1">
      <c r="A719" s="312" t="s">
        <v>861</v>
      </c>
    </row>
    <row r="720" spans="1:1">
      <c r="A720" s="312" t="s">
        <v>862</v>
      </c>
    </row>
    <row r="721" spans="1:1">
      <c r="A721" s="312" t="s">
        <v>863</v>
      </c>
    </row>
    <row r="722" spans="1:1">
      <c r="A722" s="312" t="s">
        <v>864</v>
      </c>
    </row>
    <row r="723" spans="1:1">
      <c r="A723" s="312" t="s">
        <v>865</v>
      </c>
    </row>
    <row r="724" spans="1:1">
      <c r="A724" s="312" t="s">
        <v>866</v>
      </c>
    </row>
    <row r="725" spans="1:1">
      <c r="A725" s="312" t="s">
        <v>867</v>
      </c>
    </row>
    <row r="726" spans="1:1">
      <c r="A726" s="312" t="s">
        <v>868</v>
      </c>
    </row>
    <row r="727" spans="1:1">
      <c r="A727" s="312" t="s">
        <v>869</v>
      </c>
    </row>
    <row r="728" spans="1:1">
      <c r="A728" s="312" t="s">
        <v>870</v>
      </c>
    </row>
    <row r="729" spans="1:1">
      <c r="A729" s="312" t="s">
        <v>871</v>
      </c>
    </row>
    <row r="730" spans="1:1">
      <c r="A730" s="312" t="s">
        <v>872</v>
      </c>
    </row>
    <row r="731" spans="1:1">
      <c r="A731" s="312" t="s">
        <v>873</v>
      </c>
    </row>
    <row r="732" spans="1:1">
      <c r="A732" s="312" t="s">
        <v>874</v>
      </c>
    </row>
    <row r="733" spans="1:1">
      <c r="A733" s="312" t="s">
        <v>875</v>
      </c>
    </row>
    <row r="734" spans="1:1">
      <c r="A734" s="312" t="s">
        <v>876</v>
      </c>
    </row>
    <row r="735" spans="1:1">
      <c r="A735" s="312" t="s">
        <v>877</v>
      </c>
    </row>
    <row r="736" spans="1:1">
      <c r="A736" s="312" t="s">
        <v>878</v>
      </c>
    </row>
    <row r="737" spans="1:1">
      <c r="A737" s="312" t="s">
        <v>879</v>
      </c>
    </row>
    <row r="738" spans="1:1">
      <c r="A738" s="312" t="s">
        <v>880</v>
      </c>
    </row>
    <row r="739" spans="1:1">
      <c r="A739" s="312" t="s">
        <v>881</v>
      </c>
    </row>
    <row r="740" spans="1:1">
      <c r="A740" s="312" t="s">
        <v>882</v>
      </c>
    </row>
    <row r="741" spans="1:1">
      <c r="A741" s="312" t="s">
        <v>883</v>
      </c>
    </row>
    <row r="742" spans="1:1">
      <c r="A742" s="312" t="s">
        <v>884</v>
      </c>
    </row>
    <row r="743" spans="1:1">
      <c r="A743" s="312" t="s">
        <v>885</v>
      </c>
    </row>
    <row r="744" spans="1:1">
      <c r="A744" s="312" t="s">
        <v>886</v>
      </c>
    </row>
    <row r="745" spans="1:1">
      <c r="A745" s="312" t="s">
        <v>887</v>
      </c>
    </row>
    <row r="746" spans="1:1">
      <c r="A746" s="315" t="s">
        <v>888</v>
      </c>
    </row>
    <row r="747" spans="1:1">
      <c r="A747" s="315" t="s">
        <v>889</v>
      </c>
    </row>
    <row r="748" spans="1:1">
      <c r="A748" s="315" t="s">
        <v>890</v>
      </c>
    </row>
    <row r="749" spans="1:1">
      <c r="A749" s="315" t="s">
        <v>891</v>
      </c>
    </row>
    <row r="750" spans="1:1">
      <c r="A750" s="315" t="s">
        <v>892</v>
      </c>
    </row>
    <row r="751" spans="1:1">
      <c r="A751" s="315" t="s">
        <v>893</v>
      </c>
    </row>
    <row r="752" spans="1:1">
      <c r="A752" s="240" t="s">
        <v>1314</v>
      </c>
    </row>
    <row r="753" spans="1:1">
      <c r="A753" s="315" t="s">
        <v>1315</v>
      </c>
    </row>
    <row r="754" spans="1:1">
      <c r="A754" s="312" t="s">
        <v>1346</v>
      </c>
    </row>
    <row r="755" spans="1:1">
      <c r="A755" s="315" t="s">
        <v>1347</v>
      </c>
    </row>
    <row r="756" spans="1:1">
      <c r="A756" s="315" t="s">
        <v>1348</v>
      </c>
    </row>
    <row r="757" spans="1:1">
      <c r="A757" s="315" t="s">
        <v>1349</v>
      </c>
    </row>
    <row r="758" spans="1:1">
      <c r="A758" s="315" t="s">
        <v>1350</v>
      </c>
    </row>
    <row r="759" spans="1:1">
      <c r="A759" s="322" t="s">
        <v>894</v>
      </c>
    </row>
    <row r="760" spans="1:1">
      <c r="A760" s="312" t="s">
        <v>895</v>
      </c>
    </row>
    <row r="761" spans="1:1">
      <c r="A761" s="312" t="s">
        <v>896</v>
      </c>
    </row>
    <row r="762" spans="1:1">
      <c r="A762" s="312" t="s">
        <v>897</v>
      </c>
    </row>
    <row r="763" spans="1:1">
      <c r="A763" s="312" t="s">
        <v>898</v>
      </c>
    </row>
    <row r="764" spans="1:1">
      <c r="A764" s="312" t="s">
        <v>899</v>
      </c>
    </row>
    <row r="765" spans="1:1">
      <c r="A765" s="312" t="s">
        <v>900</v>
      </c>
    </row>
    <row r="766" spans="1:1">
      <c r="A766" s="312" t="s">
        <v>901</v>
      </c>
    </row>
    <row r="767" spans="1:1">
      <c r="A767" s="317" t="s">
        <v>902</v>
      </c>
    </row>
    <row r="768" spans="1:1">
      <c r="A768" s="312" t="s">
        <v>903</v>
      </c>
    </row>
    <row r="769" spans="1:1">
      <c r="A769" s="312" t="s">
        <v>904</v>
      </c>
    </row>
    <row r="770" spans="1:1">
      <c r="A770" s="312" t="s">
        <v>905</v>
      </c>
    </row>
    <row r="771" spans="1:1">
      <c r="A771" s="312" t="s">
        <v>906</v>
      </c>
    </row>
    <row r="772" spans="1:1">
      <c r="A772" s="312" t="s">
        <v>907</v>
      </c>
    </row>
    <row r="773" spans="1:1">
      <c r="A773" s="312" t="s">
        <v>908</v>
      </c>
    </row>
    <row r="774" spans="1:1">
      <c r="A774" s="317" t="s">
        <v>909</v>
      </c>
    </row>
    <row r="775" spans="1:1">
      <c r="A775" s="317" t="s">
        <v>910</v>
      </c>
    </row>
    <row r="776" spans="1:1">
      <c r="A776" s="312" t="s">
        <v>911</v>
      </c>
    </row>
    <row r="777" spans="1:1">
      <c r="A777" s="317" t="s">
        <v>912</v>
      </c>
    </row>
    <row r="778" spans="1:1">
      <c r="A778" s="325" t="s">
        <v>913</v>
      </c>
    </row>
    <row r="779" spans="1:1">
      <c r="A779" s="312" t="s">
        <v>914</v>
      </c>
    </row>
    <row r="780" spans="1:1">
      <c r="A780" s="312" t="s">
        <v>915</v>
      </c>
    </row>
    <row r="781" spans="1:1">
      <c r="A781" s="312" t="s">
        <v>916</v>
      </c>
    </row>
    <row r="782" spans="1:1">
      <c r="A782" s="312" t="s">
        <v>917</v>
      </c>
    </row>
    <row r="783" spans="1:1">
      <c r="A783" s="312" t="s">
        <v>918</v>
      </c>
    </row>
    <row r="784" spans="1:1">
      <c r="A784" s="312" t="s">
        <v>919</v>
      </c>
    </row>
    <row r="785" spans="1:1">
      <c r="A785" s="312" t="s">
        <v>920</v>
      </c>
    </row>
    <row r="786" spans="1:1">
      <c r="A786" s="312" t="s">
        <v>921</v>
      </c>
    </row>
    <row r="787" spans="1:1">
      <c r="A787" s="312" t="s">
        <v>922</v>
      </c>
    </row>
    <row r="788" spans="1:1">
      <c r="A788" s="312" t="s">
        <v>923</v>
      </c>
    </row>
    <row r="789" spans="1:1">
      <c r="A789" s="312" t="s">
        <v>924</v>
      </c>
    </row>
    <row r="790" spans="1:1">
      <c r="A790" s="312" t="s">
        <v>925</v>
      </c>
    </row>
    <row r="791" spans="1:1">
      <c r="A791" s="312" t="s">
        <v>926</v>
      </c>
    </row>
    <row r="792" spans="1:1">
      <c r="A792" s="312" t="s">
        <v>927</v>
      </c>
    </row>
    <row r="793" spans="1:1">
      <c r="A793" s="312" t="s">
        <v>928</v>
      </c>
    </row>
    <row r="794" spans="1:1">
      <c r="A794" s="312" t="s">
        <v>929</v>
      </c>
    </row>
    <row r="795" spans="1:1">
      <c r="A795" s="312" t="s">
        <v>930</v>
      </c>
    </row>
    <row r="796" spans="1:1">
      <c r="A796" s="312" t="s">
        <v>931</v>
      </c>
    </row>
    <row r="797" spans="1:1">
      <c r="A797" s="312" t="s">
        <v>932</v>
      </c>
    </row>
    <row r="798" spans="1:1">
      <c r="A798" s="312" t="s">
        <v>933</v>
      </c>
    </row>
    <row r="799" spans="1:1">
      <c r="A799" s="312" t="s">
        <v>934</v>
      </c>
    </row>
    <row r="800" spans="1:1">
      <c r="A800" s="312" t="s">
        <v>935</v>
      </c>
    </row>
    <row r="801" spans="1:1">
      <c r="A801" s="312" t="s">
        <v>936</v>
      </c>
    </row>
    <row r="802" spans="1:1">
      <c r="A802" s="312" t="s">
        <v>937</v>
      </c>
    </row>
    <row r="803" spans="1:1">
      <c r="A803" s="312" t="s">
        <v>938</v>
      </c>
    </row>
    <row r="804" spans="1:1">
      <c r="A804" s="312" t="s">
        <v>939</v>
      </c>
    </row>
    <row r="805" spans="1:1">
      <c r="A805" s="312" t="s">
        <v>940</v>
      </c>
    </row>
    <row r="806" spans="1:1">
      <c r="A806" s="312" t="s">
        <v>941</v>
      </c>
    </row>
    <row r="807" spans="1:1">
      <c r="A807" s="312" t="s">
        <v>942</v>
      </c>
    </row>
    <row r="808" spans="1:1">
      <c r="A808" s="312" t="s">
        <v>943</v>
      </c>
    </row>
    <row r="809" spans="1:1">
      <c r="A809" s="312" t="s">
        <v>944</v>
      </c>
    </row>
    <row r="810" spans="1:1">
      <c r="A810" s="312" t="s">
        <v>945</v>
      </c>
    </row>
    <row r="811" spans="1:1">
      <c r="A811" s="312" t="s">
        <v>946</v>
      </c>
    </row>
    <row r="812" spans="1:1">
      <c r="A812" s="312" t="s">
        <v>947</v>
      </c>
    </row>
    <row r="813" spans="1:1">
      <c r="A813" s="312" t="s">
        <v>948</v>
      </c>
    </row>
    <row r="814" spans="1:1">
      <c r="A814" s="312" t="s">
        <v>949</v>
      </c>
    </row>
    <row r="815" spans="1:1">
      <c r="A815" s="312" t="s">
        <v>950</v>
      </c>
    </row>
    <row r="816" spans="1:1">
      <c r="A816" s="312" t="s">
        <v>951</v>
      </c>
    </row>
    <row r="817" spans="1:1">
      <c r="A817" s="312" t="s">
        <v>952</v>
      </c>
    </row>
    <row r="818" spans="1:1">
      <c r="A818" s="317" t="s">
        <v>953</v>
      </c>
    </row>
    <row r="819" spans="1:1">
      <c r="A819" s="317" t="s">
        <v>954</v>
      </c>
    </row>
    <row r="820" spans="1:1">
      <c r="A820" s="317" t="s">
        <v>955</v>
      </c>
    </row>
    <row r="821" spans="1:1">
      <c r="A821" s="317" t="s">
        <v>956</v>
      </c>
    </row>
    <row r="822" spans="1:1">
      <c r="A822" s="317" t="s">
        <v>957</v>
      </c>
    </row>
    <row r="823" spans="1:1">
      <c r="A823" s="317" t="s">
        <v>958</v>
      </c>
    </row>
    <row r="824" spans="1:1">
      <c r="A824" s="312" t="s">
        <v>959</v>
      </c>
    </row>
    <row r="825" spans="1:1">
      <c r="A825" s="312" t="s">
        <v>960</v>
      </c>
    </row>
    <row r="826" spans="1:1">
      <c r="A826" s="312" t="s">
        <v>961</v>
      </c>
    </row>
    <row r="827" spans="1:1">
      <c r="A827" s="317" t="s">
        <v>962</v>
      </c>
    </row>
    <row r="828" spans="1:1">
      <c r="A828" s="317" t="s">
        <v>963</v>
      </c>
    </row>
    <row r="829" spans="1:1">
      <c r="A829" s="312" t="s">
        <v>964</v>
      </c>
    </row>
    <row r="830" spans="1:1">
      <c r="A830" s="317" t="s">
        <v>965</v>
      </c>
    </row>
    <row r="831" spans="1:1">
      <c r="A831" s="317" t="s">
        <v>966</v>
      </c>
    </row>
    <row r="832" spans="1:1">
      <c r="A832" s="317" t="s">
        <v>967</v>
      </c>
    </row>
    <row r="833" spans="1:1">
      <c r="A833" s="312" t="s">
        <v>968</v>
      </c>
    </row>
    <row r="834" spans="1:1">
      <c r="A834" s="312" t="s">
        <v>969</v>
      </c>
    </row>
    <row r="835" spans="1:1">
      <c r="A835" s="312" t="s">
        <v>970</v>
      </c>
    </row>
    <row r="836" spans="1:1">
      <c r="A836" s="312" t="s">
        <v>971</v>
      </c>
    </row>
    <row r="837" spans="1:1">
      <c r="A837" s="312" t="s">
        <v>972</v>
      </c>
    </row>
    <row r="838" spans="1:1">
      <c r="A838" s="315" t="s">
        <v>973</v>
      </c>
    </row>
    <row r="839" spans="1:1">
      <c r="A839" s="315" t="s">
        <v>974</v>
      </c>
    </row>
    <row r="840" spans="1:1">
      <c r="A840" s="315" t="s">
        <v>975</v>
      </c>
    </row>
    <row r="841" spans="1:1">
      <c r="A841" s="315" t="s">
        <v>976</v>
      </c>
    </row>
    <row r="842" spans="1:1">
      <c r="A842" s="320" t="s">
        <v>977</v>
      </c>
    </row>
    <row r="843" spans="1:1">
      <c r="A843" s="315" t="s">
        <v>978</v>
      </c>
    </row>
    <row r="844" spans="1:1">
      <c r="A844" s="315" t="s">
        <v>979</v>
      </c>
    </row>
    <row r="845" spans="1:1">
      <c r="A845" s="315" t="s">
        <v>980</v>
      </c>
    </row>
    <row r="846" spans="1:1">
      <c r="A846" s="240" t="s">
        <v>981</v>
      </c>
    </row>
    <row r="847" spans="1:1">
      <c r="A847" s="322" t="s">
        <v>982</v>
      </c>
    </row>
    <row r="848" spans="1:1">
      <c r="A848" s="312" t="s">
        <v>983</v>
      </c>
    </row>
    <row r="849" spans="1:1">
      <c r="A849" s="312" t="s">
        <v>984</v>
      </c>
    </row>
    <row r="850" spans="1:1">
      <c r="A850" s="312" t="s">
        <v>985</v>
      </c>
    </row>
    <row r="851" spans="1:1">
      <c r="A851" s="312" t="s">
        <v>986</v>
      </c>
    </row>
    <row r="852" spans="1:1">
      <c r="A852" s="312" t="s">
        <v>987</v>
      </c>
    </row>
    <row r="853" spans="1:1">
      <c r="A853" s="312" t="s">
        <v>988</v>
      </c>
    </row>
    <row r="854" spans="1:1">
      <c r="A854" s="317" t="s">
        <v>989</v>
      </c>
    </row>
    <row r="855" spans="1:1">
      <c r="A855" s="312" t="s">
        <v>990</v>
      </c>
    </row>
    <row r="856" spans="1:1">
      <c r="A856" s="312" t="s">
        <v>991</v>
      </c>
    </row>
    <row r="857" spans="1:1">
      <c r="A857" s="312" t="s">
        <v>992</v>
      </c>
    </row>
    <row r="858" spans="1:1">
      <c r="A858" s="312" t="s">
        <v>993</v>
      </c>
    </row>
    <row r="859" spans="1:1">
      <c r="A859" s="317" t="s">
        <v>994</v>
      </c>
    </row>
    <row r="860" spans="1:1">
      <c r="A860" s="312" t="s">
        <v>995</v>
      </c>
    </row>
    <row r="861" spans="1:1">
      <c r="A861" s="312" t="s">
        <v>996</v>
      </c>
    </row>
    <row r="862" spans="1:1">
      <c r="A862" s="312" t="s">
        <v>997</v>
      </c>
    </row>
    <row r="863" spans="1:1">
      <c r="A863" s="312" t="s">
        <v>998</v>
      </c>
    </row>
    <row r="864" spans="1:1">
      <c r="A864" s="317" t="s">
        <v>999</v>
      </c>
    </row>
    <row r="865" spans="1:1">
      <c r="A865" s="317" t="s">
        <v>1000</v>
      </c>
    </row>
    <row r="866" spans="1:1">
      <c r="A866" s="312" t="s">
        <v>1001</v>
      </c>
    </row>
    <row r="867" spans="1:1">
      <c r="A867" s="312" t="s">
        <v>1002</v>
      </c>
    </row>
    <row r="868" spans="1:1">
      <c r="A868" s="312" t="s">
        <v>1003</v>
      </c>
    </row>
    <row r="869" spans="1:1">
      <c r="A869" s="312" t="s">
        <v>1004</v>
      </c>
    </row>
    <row r="870" spans="1:1">
      <c r="A870" s="312" t="s">
        <v>1005</v>
      </c>
    </row>
    <row r="871" spans="1:1">
      <c r="A871" s="312" t="s">
        <v>1006</v>
      </c>
    </row>
    <row r="872" spans="1:1">
      <c r="A872" s="312" t="s">
        <v>1007</v>
      </c>
    </row>
    <row r="873" spans="1:1">
      <c r="A873" s="312" t="s">
        <v>1008</v>
      </c>
    </row>
    <row r="874" spans="1:1">
      <c r="A874" s="312" t="s">
        <v>1009</v>
      </c>
    </row>
    <row r="875" spans="1:1">
      <c r="A875" s="317" t="s">
        <v>1010</v>
      </c>
    </row>
    <row r="876" spans="1:1">
      <c r="A876" s="312" t="s">
        <v>1011</v>
      </c>
    </row>
    <row r="877" spans="1:1">
      <c r="A877" s="312" t="s">
        <v>1012</v>
      </c>
    </row>
    <row r="878" spans="1:1">
      <c r="A878" s="312" t="s">
        <v>1013</v>
      </c>
    </row>
    <row r="879" spans="1:1">
      <c r="A879" s="312" t="s">
        <v>1014</v>
      </c>
    </row>
    <row r="880" spans="1:1">
      <c r="A880" s="312" t="s">
        <v>1015</v>
      </c>
    </row>
    <row r="881" spans="1:1">
      <c r="A881" s="326" t="s">
        <v>1016</v>
      </c>
    </row>
    <row r="882" spans="1:1">
      <c r="A882" s="312" t="s">
        <v>1017</v>
      </c>
    </row>
    <row r="883" spans="1:1">
      <c r="A883" s="312" t="s">
        <v>1018</v>
      </c>
    </row>
    <row r="884" spans="1:1">
      <c r="A884" s="312" t="s">
        <v>1019</v>
      </c>
    </row>
    <row r="885" spans="1:1">
      <c r="A885" s="312" t="s">
        <v>1020</v>
      </c>
    </row>
    <row r="886" spans="1:1">
      <c r="A886" s="312" t="s">
        <v>1021</v>
      </c>
    </row>
    <row r="887" spans="1:1">
      <c r="A887" s="312" t="s">
        <v>1022</v>
      </c>
    </row>
    <row r="888" spans="1:1">
      <c r="A888" s="325" t="s">
        <v>1023</v>
      </c>
    </row>
    <row r="889" spans="1:1">
      <c r="A889" s="315" t="s">
        <v>1024</v>
      </c>
    </row>
    <row r="890" spans="1:1">
      <c r="A890" s="315" t="s">
        <v>1025</v>
      </c>
    </row>
    <row r="891" spans="1:1">
      <c r="A891" s="240" t="s">
        <v>1026</v>
      </c>
    </row>
    <row r="892" spans="1:1">
      <c r="A892" s="315" t="s">
        <v>1027</v>
      </c>
    </row>
    <row r="893" spans="1:1">
      <c r="A893" s="327" t="s">
        <v>1351</v>
      </c>
    </row>
    <row r="894" spans="1:1">
      <c r="A894" s="322" t="s">
        <v>1028</v>
      </c>
    </row>
    <row r="895" spans="1:1">
      <c r="A895" s="328" t="s">
        <v>1029</v>
      </c>
    </row>
    <row r="896" spans="1:1">
      <c r="A896" s="312" t="s">
        <v>1030</v>
      </c>
    </row>
    <row r="897" spans="1:1">
      <c r="A897" s="312" t="s">
        <v>1031</v>
      </c>
    </row>
    <row r="898" spans="1:1">
      <c r="A898" s="312" t="s">
        <v>1032</v>
      </c>
    </row>
    <row r="899" spans="1:1">
      <c r="A899" s="312" t="s">
        <v>1033</v>
      </c>
    </row>
    <row r="900" spans="1:1">
      <c r="A900" s="312" t="s">
        <v>1034</v>
      </c>
    </row>
    <row r="901" spans="1:1">
      <c r="A901" s="312" t="s">
        <v>1035</v>
      </c>
    </row>
    <row r="902" spans="1:1">
      <c r="A902" s="312" t="s">
        <v>1036</v>
      </c>
    </row>
    <row r="903" spans="1:1">
      <c r="A903" s="312" t="s">
        <v>1037</v>
      </c>
    </row>
    <row r="904" spans="1:1">
      <c r="A904" s="312" t="s">
        <v>1038</v>
      </c>
    </row>
    <row r="905" spans="1:1">
      <c r="A905" s="312" t="s">
        <v>1039</v>
      </c>
    </row>
    <row r="906" spans="1:1">
      <c r="A906" s="312" t="s">
        <v>1040</v>
      </c>
    </row>
    <row r="907" spans="1:1">
      <c r="A907" s="312" t="s">
        <v>1041</v>
      </c>
    </row>
    <row r="908" spans="1:1">
      <c r="A908" s="312" t="s">
        <v>1042</v>
      </c>
    </row>
    <row r="909" spans="1:1">
      <c r="A909" s="312" t="s">
        <v>1043</v>
      </c>
    </row>
    <row r="910" spans="1:1">
      <c r="A910" s="312" t="s">
        <v>1044</v>
      </c>
    </row>
    <row r="911" spans="1:1">
      <c r="A911" s="312" t="s">
        <v>1045</v>
      </c>
    </row>
    <row r="912" spans="1:1">
      <c r="A912" s="312" t="s">
        <v>1046</v>
      </c>
    </row>
    <row r="913" spans="1:1">
      <c r="A913" s="312" t="s">
        <v>1047</v>
      </c>
    </row>
    <row r="914" spans="1:1">
      <c r="A914" s="312" t="s">
        <v>1048</v>
      </c>
    </row>
    <row r="915" spans="1:1">
      <c r="A915" s="312" t="s">
        <v>1049</v>
      </c>
    </row>
    <row r="916" spans="1:1">
      <c r="A916" s="312" t="s">
        <v>1050</v>
      </c>
    </row>
    <row r="917" spans="1:1">
      <c r="A917" s="312" t="s">
        <v>1051</v>
      </c>
    </row>
    <row r="918" spans="1:1">
      <c r="A918" s="312" t="s">
        <v>1052</v>
      </c>
    </row>
    <row r="919" spans="1:1">
      <c r="A919" s="315" t="s">
        <v>1334</v>
      </c>
    </row>
    <row r="920" spans="1:1">
      <c r="A920" s="322" t="s">
        <v>1053</v>
      </c>
    </row>
    <row r="921" spans="1:1">
      <c r="A921" s="312" t="s">
        <v>1054</v>
      </c>
    </row>
    <row r="922" spans="1:1">
      <c r="A922" s="312" t="s">
        <v>1055</v>
      </c>
    </row>
    <row r="923" spans="1:1">
      <c r="A923" s="312" t="s">
        <v>1056</v>
      </c>
    </row>
    <row r="924" spans="1:1">
      <c r="A924" s="312" t="s">
        <v>1057</v>
      </c>
    </row>
    <row r="925" spans="1:1">
      <c r="A925" s="312" t="s">
        <v>1058</v>
      </c>
    </row>
    <row r="926" spans="1:1">
      <c r="A926" s="322" t="s">
        <v>1059</v>
      </c>
    </row>
    <row r="927" spans="1:1">
      <c r="A927" s="312" t="s">
        <v>1060</v>
      </c>
    </row>
    <row r="928" spans="1:1">
      <c r="A928" s="312" t="s">
        <v>1061</v>
      </c>
    </row>
    <row r="929" spans="1:1">
      <c r="A929" s="322" t="s">
        <v>1062</v>
      </c>
    </row>
    <row r="930" spans="1:1">
      <c r="A930" s="312" t="s">
        <v>1063</v>
      </c>
    </row>
    <row r="931" spans="1:1">
      <c r="A931" s="312" t="s">
        <v>1064</v>
      </c>
    </row>
    <row r="932" spans="1:1">
      <c r="A932" s="312" t="s">
        <v>1065</v>
      </c>
    </row>
    <row r="933" spans="1:1">
      <c r="A933" s="322" t="s">
        <v>1066</v>
      </c>
    </row>
    <row r="934" spans="1:1">
      <c r="A934" s="312" t="s">
        <v>1067</v>
      </c>
    </row>
    <row r="935" spans="1:1">
      <c r="A935" s="312" t="s">
        <v>1068</v>
      </c>
    </row>
    <row r="936" spans="1:1">
      <c r="A936" s="312" t="s">
        <v>1069</v>
      </c>
    </row>
    <row r="937" spans="1:1">
      <c r="A937" s="312" t="s">
        <v>1070</v>
      </c>
    </row>
    <row r="938" spans="1:1">
      <c r="A938" s="312" t="s">
        <v>1071</v>
      </c>
    </row>
    <row r="939" spans="1:1">
      <c r="A939" s="312" t="s">
        <v>1072</v>
      </c>
    </row>
    <row r="940" spans="1:1">
      <c r="A940" s="312" t="s">
        <v>1073</v>
      </c>
    </row>
    <row r="941" spans="1:1">
      <c r="A941" s="312" t="s">
        <v>1074</v>
      </c>
    </row>
    <row r="942" spans="1:1">
      <c r="A942" s="312" t="s">
        <v>1075</v>
      </c>
    </row>
    <row r="943" spans="1:1">
      <c r="A943" s="312" t="s">
        <v>1076</v>
      </c>
    </row>
    <row r="944" spans="1:1">
      <c r="A944" s="312" t="s">
        <v>1077</v>
      </c>
    </row>
    <row r="945" spans="1:1">
      <c r="A945" s="312" t="s">
        <v>1078</v>
      </c>
    </row>
    <row r="946" spans="1:1">
      <c r="A946" s="312" t="s">
        <v>1079</v>
      </c>
    </row>
    <row r="947" spans="1:1">
      <c r="A947" s="312" t="s">
        <v>1080</v>
      </c>
    </row>
    <row r="948" spans="1:1">
      <c r="A948" s="322" t="s">
        <v>1081</v>
      </c>
    </row>
    <row r="949" spans="1:1">
      <c r="A949" s="312" t="s">
        <v>1082</v>
      </c>
    </row>
    <row r="950" spans="1:1">
      <c r="A950" s="322" t="s">
        <v>1083</v>
      </c>
    </row>
    <row r="951" spans="1:1">
      <c r="A951" s="312" t="s">
        <v>1084</v>
      </c>
    </row>
    <row r="952" spans="1:1">
      <c r="A952" s="322" t="s">
        <v>1085</v>
      </c>
    </row>
    <row r="953" spans="1:1">
      <c r="A953" s="312" t="s">
        <v>1086</v>
      </c>
    </row>
    <row r="954" spans="1:1">
      <c r="A954" s="312" t="s">
        <v>1087</v>
      </c>
    </row>
    <row r="955" spans="1:1">
      <c r="A955" s="312" t="s">
        <v>1088</v>
      </c>
    </row>
    <row r="956" spans="1:1">
      <c r="A956" s="312" t="s">
        <v>1089</v>
      </c>
    </row>
    <row r="957" spans="1:1">
      <c r="A957" s="312" t="s">
        <v>1090</v>
      </c>
    </row>
    <row r="958" spans="1:1">
      <c r="A958" s="312" t="s">
        <v>1091</v>
      </c>
    </row>
    <row r="959" spans="1:1">
      <c r="A959" s="312" t="s">
        <v>1092</v>
      </c>
    </row>
    <row r="960" spans="1:1">
      <c r="A960" s="312" t="s">
        <v>1093</v>
      </c>
    </row>
    <row r="961" spans="1:1">
      <c r="A961" s="312" t="s">
        <v>1094</v>
      </c>
    </row>
    <row r="962" spans="1:1">
      <c r="A962" s="312" t="s">
        <v>1095</v>
      </c>
    </row>
    <row r="963" spans="1:1">
      <c r="A963" s="312" t="s">
        <v>1096</v>
      </c>
    </row>
    <row r="964" spans="1:1">
      <c r="A964" s="312" t="s">
        <v>1097</v>
      </c>
    </row>
    <row r="965" spans="1:1">
      <c r="A965" s="312" t="s">
        <v>1098</v>
      </c>
    </row>
    <row r="966" spans="1:1">
      <c r="A966" s="312" t="s">
        <v>1099</v>
      </c>
    </row>
    <row r="967" spans="1:1">
      <c r="A967" s="322" t="s">
        <v>1100</v>
      </c>
    </row>
    <row r="968" spans="1:1">
      <c r="A968" s="312" t="s">
        <v>1101</v>
      </c>
    </row>
    <row r="969" spans="1:1">
      <c r="A969" s="312" t="s">
        <v>1102</v>
      </c>
    </row>
    <row r="970" spans="1:1">
      <c r="A970" s="312" t="s">
        <v>1103</v>
      </c>
    </row>
    <row r="971" spans="1:1">
      <c r="A971" s="322" t="s">
        <v>1104</v>
      </c>
    </row>
    <row r="972" spans="1:1">
      <c r="A972" s="312" t="s">
        <v>1105</v>
      </c>
    </row>
    <row r="973" spans="1:1">
      <c r="A973" s="312" t="s">
        <v>1106</v>
      </c>
    </row>
    <row r="974" spans="1:1">
      <c r="A974" s="312" t="s">
        <v>1107</v>
      </c>
    </row>
    <row r="975" spans="1:1">
      <c r="A975" s="312" t="s">
        <v>1108</v>
      </c>
    </row>
    <row r="976" spans="1:1">
      <c r="A976" s="312" t="s">
        <v>1109</v>
      </c>
    </row>
    <row r="977" spans="1:1">
      <c r="A977" s="312" t="s">
        <v>1110</v>
      </c>
    </row>
    <row r="978" spans="1:1">
      <c r="A978" s="312" t="s">
        <v>1111</v>
      </c>
    </row>
    <row r="979" spans="1:1">
      <c r="A979" s="312" t="s">
        <v>1112</v>
      </c>
    </row>
    <row r="980" spans="1:1">
      <c r="A980" s="312" t="s">
        <v>1113</v>
      </c>
    </row>
    <row r="981" spans="1:1">
      <c r="A981" s="312" t="s">
        <v>1114</v>
      </c>
    </row>
    <row r="982" spans="1:1">
      <c r="A982" s="312" t="s">
        <v>1115</v>
      </c>
    </row>
    <row r="983" spans="1:1">
      <c r="A983" s="322" t="s">
        <v>1116</v>
      </c>
    </row>
    <row r="984" spans="1:1">
      <c r="A984" s="312" t="s">
        <v>1117</v>
      </c>
    </row>
    <row r="985" spans="1:1">
      <c r="A985" s="312" t="s">
        <v>1118</v>
      </c>
    </row>
    <row r="986" spans="1:1">
      <c r="A986" s="312" t="s">
        <v>1119</v>
      </c>
    </row>
    <row r="987" spans="1:1">
      <c r="A987" s="312" t="s">
        <v>1120</v>
      </c>
    </row>
    <row r="988" spans="1:1">
      <c r="A988" s="312" t="s">
        <v>1121</v>
      </c>
    </row>
    <row r="989" spans="1:1">
      <c r="A989" s="322" t="s">
        <v>1122</v>
      </c>
    </row>
    <row r="990" spans="1:1">
      <c r="A990" s="312" t="s">
        <v>1123</v>
      </c>
    </row>
    <row r="991" spans="1:1">
      <c r="A991" s="312" t="s">
        <v>1124</v>
      </c>
    </row>
    <row r="992" spans="1:1">
      <c r="A992" s="312" t="s">
        <v>1125</v>
      </c>
    </row>
    <row r="993" spans="1:1">
      <c r="A993" s="322" t="s">
        <v>1126</v>
      </c>
    </row>
    <row r="994" spans="1:1">
      <c r="A994" s="312" t="s">
        <v>1127</v>
      </c>
    </row>
    <row r="995" spans="1:1">
      <c r="A995" s="312" t="s">
        <v>1128</v>
      </c>
    </row>
    <row r="996" spans="1:1">
      <c r="A996" s="312" t="s">
        <v>1129</v>
      </c>
    </row>
    <row r="997" spans="1:1">
      <c r="A997" s="312" t="s">
        <v>1130</v>
      </c>
    </row>
    <row r="998" spans="1:1">
      <c r="A998" s="312" t="s">
        <v>1131</v>
      </c>
    </row>
    <row r="999" spans="1:1">
      <c r="A999" s="312" t="s">
        <v>1132</v>
      </c>
    </row>
    <row r="1000" spans="1:1">
      <c r="A1000" s="312" t="s">
        <v>1133</v>
      </c>
    </row>
    <row r="1001" spans="1:1">
      <c r="A1001" s="312" t="s">
        <v>1134</v>
      </c>
    </row>
    <row r="1002" spans="1:1">
      <c r="A1002" s="312" t="s">
        <v>1135</v>
      </c>
    </row>
    <row r="1003" spans="1:1">
      <c r="A1003" s="312" t="s">
        <v>1136</v>
      </c>
    </row>
    <row r="1004" spans="1:1">
      <c r="A1004" s="312" t="s">
        <v>1137</v>
      </c>
    </row>
    <row r="1005" spans="1:1">
      <c r="A1005" s="312" t="s">
        <v>1138</v>
      </c>
    </row>
    <row r="1006" spans="1:1">
      <c r="A1006" s="312" t="s">
        <v>1139</v>
      </c>
    </row>
    <row r="1007" spans="1:1">
      <c r="A1007" s="312" t="s">
        <v>1140</v>
      </c>
    </row>
    <row r="1008" spans="1:1">
      <c r="A1008" s="317" t="s">
        <v>1141</v>
      </c>
    </row>
    <row r="1009" spans="1:1">
      <c r="A1009" s="317" t="s">
        <v>1142</v>
      </c>
    </row>
    <row r="1010" spans="1:1">
      <c r="A1010" s="312" t="s">
        <v>1143</v>
      </c>
    </row>
    <row r="1011" spans="1:1">
      <c r="A1011" s="312" t="s">
        <v>1144</v>
      </c>
    </row>
    <row r="1012" spans="1:1">
      <c r="A1012" s="312" t="s">
        <v>1145</v>
      </c>
    </row>
    <row r="1013" spans="1:1">
      <c r="A1013" s="312" t="s">
        <v>1146</v>
      </c>
    </row>
    <row r="1014" spans="1:1">
      <c r="A1014" s="312" t="s">
        <v>1147</v>
      </c>
    </row>
    <row r="1015" spans="1:1">
      <c r="A1015" s="312" t="s">
        <v>1148</v>
      </c>
    </row>
    <row r="1016" spans="1:1">
      <c r="A1016" s="312" t="s">
        <v>1149</v>
      </c>
    </row>
    <row r="1017" spans="1:1">
      <c r="A1017" s="312" t="s">
        <v>1150</v>
      </c>
    </row>
    <row r="1018" spans="1:1">
      <c r="A1018" s="322" t="s">
        <v>1151</v>
      </c>
    </row>
    <row r="1019" spans="1:1">
      <c r="A1019" s="312" t="s">
        <v>1152</v>
      </c>
    </row>
    <row r="1020" spans="1:1">
      <c r="A1020" s="312" t="s">
        <v>1153</v>
      </c>
    </row>
    <row r="1021" spans="1:1">
      <c r="A1021" s="312" t="s">
        <v>1154</v>
      </c>
    </row>
    <row r="1022" spans="1:1">
      <c r="A1022" s="312" t="s">
        <v>1155</v>
      </c>
    </row>
    <row r="1023" spans="1:1">
      <c r="A1023" s="312" t="s">
        <v>1156</v>
      </c>
    </row>
    <row r="1024" spans="1:1">
      <c r="A1024" s="327" t="s">
        <v>1352</v>
      </c>
    </row>
    <row r="1025" spans="1:1">
      <c r="A1025" s="327" t="s">
        <v>1353</v>
      </c>
    </row>
    <row r="1026" spans="1:1">
      <c r="A1026" s="327" t="s">
        <v>1354</v>
      </c>
    </row>
    <row r="1027" spans="1:1">
      <c r="A1027" s="322" t="s">
        <v>1157</v>
      </c>
    </row>
    <row r="1028" spans="1:1">
      <c r="A1028" s="312" t="s">
        <v>1158</v>
      </c>
    </row>
    <row r="1029" spans="1:1">
      <c r="A1029" s="312" t="s">
        <v>1159</v>
      </c>
    </row>
    <row r="1030" spans="1:1">
      <c r="A1030" s="322" t="s">
        <v>1160</v>
      </c>
    </row>
    <row r="1031" spans="1:1">
      <c r="A1031" s="312" t="s">
        <v>1161</v>
      </c>
    </row>
    <row r="1032" spans="1:1">
      <c r="A1032" s="312" t="s">
        <v>1162</v>
      </c>
    </row>
    <row r="1033" spans="1:1">
      <c r="A1033" s="312" t="s">
        <v>1163</v>
      </c>
    </row>
    <row r="1034" spans="1:1">
      <c r="A1034" s="312" t="s">
        <v>1164</v>
      </c>
    </row>
    <row r="1035" spans="1:1">
      <c r="A1035" s="312" t="s">
        <v>1165</v>
      </c>
    </row>
    <row r="1036" spans="1:1">
      <c r="A1036" s="312" t="s">
        <v>1166</v>
      </c>
    </row>
    <row r="1037" spans="1:1">
      <c r="A1037" s="312" t="s">
        <v>1167</v>
      </c>
    </row>
    <row r="1038" spans="1:1">
      <c r="A1038" s="312" t="s">
        <v>1168</v>
      </c>
    </row>
    <row r="1039" spans="1:1">
      <c r="A1039" s="312" t="s">
        <v>1169</v>
      </c>
    </row>
    <row r="1040" spans="1:1">
      <c r="A1040" s="312" t="s">
        <v>1170</v>
      </c>
    </row>
    <row r="1041" spans="1:1">
      <c r="A1041" s="312" t="s">
        <v>1171</v>
      </c>
    </row>
    <row r="1042" spans="1:1">
      <c r="A1042" s="312" t="s">
        <v>1172</v>
      </c>
    </row>
    <row r="1043" spans="1:1">
      <c r="A1043" s="312" t="s">
        <v>1173</v>
      </c>
    </row>
    <row r="1044" spans="1:1">
      <c r="A1044" s="312" t="s">
        <v>1174</v>
      </c>
    </row>
    <row r="1045" spans="1:1">
      <c r="A1045" s="312" t="s">
        <v>1175</v>
      </c>
    </row>
    <row r="1046" spans="1:1">
      <c r="A1046" s="312" t="s">
        <v>1176</v>
      </c>
    </row>
    <row r="1047" spans="1:1">
      <c r="A1047" s="312" t="s">
        <v>1177</v>
      </c>
    </row>
    <row r="1048" spans="1:1">
      <c r="A1048" s="322" t="s">
        <v>1178</v>
      </c>
    </row>
    <row r="1049" spans="1:1">
      <c r="A1049" s="312" t="s">
        <v>1179</v>
      </c>
    </row>
    <row r="1050" spans="1:1">
      <c r="A1050" s="312" t="s">
        <v>1180</v>
      </c>
    </row>
    <row r="1051" spans="1:1">
      <c r="A1051" s="312" t="s">
        <v>1181</v>
      </c>
    </row>
    <row r="1052" spans="1:1">
      <c r="A1052" s="312" t="s">
        <v>1182</v>
      </c>
    </row>
    <row r="1053" spans="1:1">
      <c r="A1053" s="329" t="s">
        <v>1183</v>
      </c>
    </row>
    <row r="1054" spans="1:1">
      <c r="A1054" s="312" t="s">
        <v>1184</v>
      </c>
    </row>
    <row r="1055" spans="1:1">
      <c r="A1055" s="312" t="s">
        <v>1185</v>
      </c>
    </row>
    <row r="1056" spans="1:1">
      <c r="A1056" s="312" t="s">
        <v>1186</v>
      </c>
    </row>
    <row r="1057" spans="1:1">
      <c r="A1057" s="312" t="s">
        <v>1187</v>
      </c>
    </row>
    <row r="1058" spans="1:1">
      <c r="A1058" s="312" t="s">
        <v>1188</v>
      </c>
    </row>
    <row r="1059" spans="1:1">
      <c r="A1059" s="312" t="s">
        <v>1189</v>
      </c>
    </row>
    <row r="1060" spans="1:1">
      <c r="A1060" s="312" t="s">
        <v>1190</v>
      </c>
    </row>
    <row r="1061" spans="1:1">
      <c r="A1061" s="312" t="s">
        <v>1191</v>
      </c>
    </row>
    <row r="1062" spans="1:1">
      <c r="A1062" s="312" t="s">
        <v>1192</v>
      </c>
    </row>
    <row r="1063" spans="1:1">
      <c r="A1063" s="312" t="s">
        <v>1193</v>
      </c>
    </row>
    <row r="1064" spans="1:1">
      <c r="A1064" s="312" t="s">
        <v>1194</v>
      </c>
    </row>
    <row r="1065" spans="1:1">
      <c r="A1065" s="315" t="s">
        <v>1195</v>
      </c>
    </row>
    <row r="1066" spans="1:1">
      <c r="A1066" s="330" t="s">
        <v>1196</v>
      </c>
    </row>
    <row r="1067" spans="1:1">
      <c r="A1067" s="312" t="s">
        <v>1197</v>
      </c>
    </row>
    <row r="1068" spans="1:1">
      <c r="A1068" s="312" t="s">
        <v>1355</v>
      </c>
    </row>
    <row r="1069" spans="1:1">
      <c r="A1069" s="312" t="s">
        <v>1198</v>
      </c>
    </row>
    <row r="1070" spans="1:1">
      <c r="A1070" s="315" t="s">
        <v>1199</v>
      </c>
    </row>
    <row r="1071" spans="1:1">
      <c r="A1071" s="315" t="s">
        <v>1200</v>
      </c>
    </row>
    <row r="1072" spans="1:1">
      <c r="A1072" s="325" t="s">
        <v>1201</v>
      </c>
    </row>
    <row r="1073" spans="1:1">
      <c r="A1073" s="331" t="s">
        <v>1202</v>
      </c>
    </row>
    <row r="1074" spans="1:1">
      <c r="A1074" s="325" t="s">
        <v>1203</v>
      </c>
    </row>
    <row r="1075" spans="1:1">
      <c r="A1075" s="331" t="s">
        <v>1204</v>
      </c>
    </row>
    <row r="1076" spans="1:1">
      <c r="A1076" s="331" t="s">
        <v>1205</v>
      </c>
    </row>
    <row r="1077" spans="1:1">
      <c r="A1077" s="325" t="s">
        <v>1206</v>
      </c>
    </row>
    <row r="1078" spans="1:1">
      <c r="A1078" s="325" t="s">
        <v>1207</v>
      </c>
    </row>
    <row r="1079" spans="1:1">
      <c r="A1079" s="325" t="s">
        <v>1208</v>
      </c>
    </row>
    <row r="1080" spans="1:1">
      <c r="A1080" s="315" t="s">
        <v>1209</v>
      </c>
    </row>
    <row r="1081" spans="1:1">
      <c r="A1081" s="315" t="s">
        <v>1210</v>
      </c>
    </row>
    <row r="1082" spans="1:1">
      <c r="A1082" s="315" t="s">
        <v>1211</v>
      </c>
    </row>
    <row r="1083" spans="1:1">
      <c r="A1083" s="315" t="s">
        <v>1212</v>
      </c>
    </row>
    <row r="1084" spans="1:1">
      <c r="A1084" s="315" t="s">
        <v>1213</v>
      </c>
    </row>
    <row r="1085" spans="1:1">
      <c r="A1085" s="325" t="s">
        <v>1214</v>
      </c>
    </row>
    <row r="1086" spans="1:1">
      <c r="A1086" s="315" t="s">
        <v>1215</v>
      </c>
    </row>
    <row r="1087" spans="1:1">
      <c r="A1087" s="315" t="s">
        <v>1216</v>
      </c>
    </row>
    <row r="1088" spans="1:1">
      <c r="A1088" s="315" t="s">
        <v>1217</v>
      </c>
    </row>
    <row r="1089" spans="1:1">
      <c r="A1089" s="312" t="s">
        <v>1218</v>
      </c>
    </row>
    <row r="1090" spans="1:1">
      <c r="A1090" s="312" t="s">
        <v>1219</v>
      </c>
    </row>
    <row r="1091" spans="1:1">
      <c r="A1091" s="312" t="s">
        <v>1220</v>
      </c>
    </row>
    <row r="1092" spans="1:1" ht="28">
      <c r="A1092" s="325" t="s">
        <v>1221</v>
      </c>
    </row>
    <row r="1093" spans="1:1" ht="28">
      <c r="A1093" s="325" t="s">
        <v>1222</v>
      </c>
    </row>
    <row r="1094" spans="1:1">
      <c r="A1094" s="315" t="s">
        <v>1223</v>
      </c>
    </row>
    <row r="1095" spans="1:1">
      <c r="A1095" s="312" t="s">
        <v>1224</v>
      </c>
    </row>
    <row r="1096" spans="1:1">
      <c r="A1096" s="315" t="s">
        <v>1225</v>
      </c>
    </row>
    <row r="1097" spans="1:1">
      <c r="A1097" s="322" t="s">
        <v>1226</v>
      </c>
    </row>
    <row r="1098" spans="1:1">
      <c r="A1098" s="312" t="s">
        <v>1227</v>
      </c>
    </row>
    <row r="1099" spans="1:1">
      <c r="A1099" s="312" t="s">
        <v>1228</v>
      </c>
    </row>
    <row r="1100" spans="1:1">
      <c r="A1100" s="315" t="s">
        <v>1229</v>
      </c>
    </row>
    <row r="1101" spans="1:1">
      <c r="A1101" s="312" t="s">
        <v>1230</v>
      </c>
    </row>
    <row r="1102" spans="1:1">
      <c r="A1102" s="312" t="s">
        <v>1231</v>
      </c>
    </row>
    <row r="1103" spans="1:1">
      <c r="A1103" s="312" t="s">
        <v>1232</v>
      </c>
    </row>
    <row r="1104" spans="1:1">
      <c r="A1104" s="312" t="s">
        <v>1233</v>
      </c>
    </row>
    <row r="1105" spans="1:1">
      <c r="A1105" s="312" t="s">
        <v>1234</v>
      </c>
    </row>
    <row r="1106" spans="1:1">
      <c r="A1106" s="330" t="s">
        <v>1235</v>
      </c>
    </row>
    <row r="1107" spans="1:1">
      <c r="A1107" s="312" t="s">
        <v>1236</v>
      </c>
    </row>
    <row r="1108" spans="1:1">
      <c r="A1108" s="312" t="s">
        <v>1237</v>
      </c>
    </row>
    <row r="1109" spans="1:1">
      <c r="A1109" s="312" t="s">
        <v>1238</v>
      </c>
    </row>
    <row r="1110" spans="1:1">
      <c r="A1110" s="315" t="s">
        <v>1239</v>
      </c>
    </row>
    <row r="1111" spans="1:1">
      <c r="A1111" s="312" t="s">
        <v>1240</v>
      </c>
    </row>
    <row r="1112" spans="1:1">
      <c r="A1112" s="315" t="s">
        <v>1241</v>
      </c>
    </row>
    <row r="1113" spans="1:1">
      <c r="A1113" s="315" t="s">
        <v>1242</v>
      </c>
    </row>
    <row r="1114" spans="1:1">
      <c r="A1114" s="312" t="s">
        <v>1243</v>
      </c>
    </row>
    <row r="1115" spans="1:1">
      <c r="A1115" s="312" t="s">
        <v>1244</v>
      </c>
    </row>
    <row r="1116" spans="1:1">
      <c r="A1116" s="325" t="s">
        <v>1245</v>
      </c>
    </row>
    <row r="1117" spans="1:1">
      <c r="A1117" s="315" t="s">
        <v>1246</v>
      </c>
    </row>
    <row r="1118" spans="1:1">
      <c r="A1118" s="312" t="s">
        <v>1316</v>
      </c>
    </row>
    <row r="1119" spans="1:1">
      <c r="A1119" s="332" t="s">
        <v>1317</v>
      </c>
    </row>
    <row r="1120" spans="1:1">
      <c r="A1120" s="315" t="s">
        <v>1318</v>
      </c>
    </row>
    <row r="1121" spans="1:1">
      <c r="A1121" s="315" t="s">
        <v>1247</v>
      </c>
    </row>
    <row r="1122" spans="1:1">
      <c r="A1122" s="315" t="s">
        <v>1248</v>
      </c>
    </row>
    <row r="1123" spans="1:1">
      <c r="A1123" s="315" t="s">
        <v>1249</v>
      </c>
    </row>
    <row r="1124" spans="1:1">
      <c r="A1124" s="315" t="s">
        <v>1250</v>
      </c>
    </row>
    <row r="1125" spans="1:1">
      <c r="A1125" s="315" t="s">
        <v>1251</v>
      </c>
    </row>
    <row r="1126" spans="1:1">
      <c r="A1126" s="240" t="s">
        <v>1252</v>
      </c>
    </row>
    <row r="1127" spans="1:1">
      <c r="A1127" s="315" t="s">
        <v>1253</v>
      </c>
    </row>
    <row r="1128" spans="1:1">
      <c r="A1128" s="315" t="s">
        <v>1254</v>
      </c>
    </row>
    <row r="1129" spans="1:1">
      <c r="A1129" s="315" t="s">
        <v>1255</v>
      </c>
    </row>
    <row r="1130" spans="1:1">
      <c r="A1130" s="240" t="s">
        <v>1256</v>
      </c>
    </row>
    <row r="1131" spans="1:1">
      <c r="A1131" s="333" t="s">
        <v>1257</v>
      </c>
    </row>
    <row r="1132" spans="1:1">
      <c r="A1132" s="240" t="s">
        <v>1258</v>
      </c>
    </row>
    <row r="1133" spans="1:1">
      <c r="A1133" s="316" t="s">
        <v>1259</v>
      </c>
    </row>
    <row r="1134" spans="1:1">
      <c r="A1134" s="316" t="s">
        <v>1260</v>
      </c>
    </row>
    <row r="1135" spans="1:1">
      <c r="A1135" s="316" t="s">
        <v>1261</v>
      </c>
    </row>
    <row r="1136" spans="1:1">
      <c r="A1136" s="315" t="s">
        <v>1262</v>
      </c>
    </row>
    <row r="1137" spans="1:1">
      <c r="A1137" s="315" t="s">
        <v>1263</v>
      </c>
    </row>
    <row r="1138" spans="1:1">
      <c r="A1138" s="315" t="s">
        <v>1264</v>
      </c>
    </row>
    <row r="1139" spans="1:1">
      <c r="A1139" s="315" t="s">
        <v>1265</v>
      </c>
    </row>
    <row r="1140" spans="1:1">
      <c r="A1140" s="315" t="s">
        <v>1266</v>
      </c>
    </row>
    <row r="1141" spans="1:1">
      <c r="A1141" s="315" t="s">
        <v>1267</v>
      </c>
    </row>
    <row r="1142" spans="1:1">
      <c r="A1142" s="315" t="s">
        <v>1268</v>
      </c>
    </row>
    <row r="1143" spans="1:1">
      <c r="A1143" s="315" t="s">
        <v>1269</v>
      </c>
    </row>
    <row r="1144" spans="1:1">
      <c r="A1144" s="315" t="s">
        <v>1270</v>
      </c>
    </row>
    <row r="1145" spans="1:1">
      <c r="A1145" s="315" t="s">
        <v>1271</v>
      </c>
    </row>
    <row r="1146" spans="1:1">
      <c r="A1146" s="242" t="s">
        <v>1272</v>
      </c>
    </row>
    <row r="1147" spans="1:1">
      <c r="A1147" s="315" t="s">
        <v>1273</v>
      </c>
    </row>
    <row r="1148" spans="1:1">
      <c r="A1148" s="315" t="s">
        <v>1274</v>
      </c>
    </row>
    <row r="1149" spans="1:1">
      <c r="A1149" s="315" t="s">
        <v>1275</v>
      </c>
    </row>
    <row r="1150" spans="1:1">
      <c r="A1150" s="315" t="s">
        <v>1276</v>
      </c>
    </row>
    <row r="1151" spans="1:1">
      <c r="A1151" s="315" t="s">
        <v>1277</v>
      </c>
    </row>
    <row r="1152" spans="1:1">
      <c r="A1152" s="330" t="s">
        <v>1278</v>
      </c>
    </row>
    <row r="1153" spans="1:1">
      <c r="A1153" s="315" t="s">
        <v>1279</v>
      </c>
    </row>
    <row r="1154" spans="1:1">
      <c r="A1154" s="315" t="s">
        <v>1280</v>
      </c>
    </row>
    <row r="1155" spans="1:1">
      <c r="A1155" s="315" t="s">
        <v>1281</v>
      </c>
    </row>
    <row r="1156" spans="1:1">
      <c r="A1156" s="315" t="s">
        <v>1282</v>
      </c>
    </row>
    <row r="1157" spans="1:1">
      <c r="A1157" s="315" t="s">
        <v>1283</v>
      </c>
    </row>
    <row r="1158" spans="1:1">
      <c r="A1158" s="315" t="s">
        <v>1284</v>
      </c>
    </row>
    <row r="1159" spans="1:1">
      <c r="A1159" s="242" t="s">
        <v>1285</v>
      </c>
    </row>
    <row r="1160" spans="1:1">
      <c r="A1160" s="316" t="s">
        <v>1286</v>
      </c>
    </row>
    <row r="1161" spans="1:1">
      <c r="A1161" s="316" t="s">
        <v>1287</v>
      </c>
    </row>
    <row r="1162" spans="1:1">
      <c r="A1162" s="242" t="s">
        <v>1288</v>
      </c>
    </row>
    <row r="1163" spans="1:1">
      <c r="A1163" s="316" t="s">
        <v>1289</v>
      </c>
    </row>
    <row r="1164" spans="1:1">
      <c r="A1164" s="316" t="s">
        <v>1290</v>
      </c>
    </row>
    <row r="1165" spans="1:1">
      <c r="A1165" s="316" t="s">
        <v>1291</v>
      </c>
    </row>
    <row r="1166" spans="1:1">
      <c r="A1166" s="242" t="s">
        <v>1292</v>
      </c>
    </row>
    <row r="1167" spans="1:1">
      <c r="A1167" s="316" t="s">
        <v>1293</v>
      </c>
    </row>
    <row r="1168" spans="1:1">
      <c r="A1168" s="316" t="s">
        <v>1294</v>
      </c>
    </row>
    <row r="1169" spans="1:1">
      <c r="A1169" s="316" t="s">
        <v>1295</v>
      </c>
    </row>
    <row r="1170" spans="1:1">
      <c r="A1170" s="316" t="s">
        <v>1296</v>
      </c>
    </row>
    <row r="1171" spans="1:1">
      <c r="A1171" s="316" t="s">
        <v>1297</v>
      </c>
    </row>
    <row r="1172" spans="1:1">
      <c r="A1172" s="315" t="s">
        <v>1335</v>
      </c>
    </row>
    <row r="1173" spans="1:1">
      <c r="A1173" s="334" t="s">
        <v>1298</v>
      </c>
    </row>
    <row r="1174" spans="1:1">
      <c r="A1174" s="315" t="s">
        <v>1299</v>
      </c>
    </row>
    <row r="1175" spans="1:1">
      <c r="A1175" s="315" t="s">
        <v>1300</v>
      </c>
    </row>
    <row r="1176" spans="1:1">
      <c r="A1176" s="315" t="s">
        <v>1301</v>
      </c>
    </row>
    <row r="1177" spans="1:1">
      <c r="A1177" s="315" t="s">
        <v>1302</v>
      </c>
    </row>
    <row r="1178" spans="1:1">
      <c r="A1178" s="315" t="s">
        <v>1303</v>
      </c>
    </row>
    <row r="1179" spans="1:1">
      <c r="A1179" s="315" t="s">
        <v>1304</v>
      </c>
    </row>
    <row r="1180" spans="1:1">
      <c r="A1180" s="315" t="s">
        <v>1305</v>
      </c>
    </row>
    <row r="1181" spans="1:1">
      <c r="A1181" s="315" t="s">
        <v>1306</v>
      </c>
    </row>
    <row r="1182" spans="1:1">
      <c r="A1182" s="315" t="s">
        <v>1307</v>
      </c>
    </row>
    <row r="1183" spans="1:1">
      <c r="A1183" s="315" t="s">
        <v>1308</v>
      </c>
    </row>
    <row r="1184" spans="1:1">
      <c r="A1184" s="315" t="s">
        <v>1309</v>
      </c>
    </row>
    <row r="1185" spans="1:1">
      <c r="A1185" s="334" t="s">
        <v>1336</v>
      </c>
    </row>
    <row r="1186" spans="1:1">
      <c r="A1186" s="315" t="s">
        <v>1337</v>
      </c>
    </row>
    <row r="1187" spans="1:1">
      <c r="A1187" s="334" t="s">
        <v>1356</v>
      </c>
    </row>
    <row r="1188" spans="1:1">
      <c r="A1188" s="315" t="s">
        <v>1357</v>
      </c>
    </row>
    <row r="1189" spans="1:1">
      <c r="A1189" s="315" t="s">
        <v>1358</v>
      </c>
    </row>
    <row r="1190" spans="1:1">
      <c r="A1190" s="315" t="s">
        <v>1359</v>
      </c>
    </row>
    <row r="1191" spans="1:1">
      <c r="A1191" s="334" t="s">
        <v>1360</v>
      </c>
    </row>
    <row r="1192" spans="1:1">
      <c r="A1192" s="241" t="s">
        <v>1361</v>
      </c>
    </row>
    <row r="1193" spans="1:1">
      <c r="A1193" s="315"/>
    </row>
    <row r="1194" spans="1:1">
      <c r="A1194" s="315"/>
    </row>
    <row r="1195" spans="1:1">
      <c r="A1195" s="315"/>
    </row>
    <row r="1196" spans="1:1">
      <c r="A1196" s="315"/>
    </row>
  </sheetData>
  <mergeCells count="1">
    <mergeCell ref="A1:A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3" name="Button 1">
              <controlPr defaultSize="0" print="0" autoPict="0">
                <anchor moveWithCells="1" sizeWithCells="1">
                  <from>
                    <xdr:col>1</xdr:col>
                    <xdr:colOff>939800</xdr:colOff>
                    <xdr:row>0</xdr:row>
                    <xdr:rowOff>0</xdr:rowOff>
                  </from>
                  <to>
                    <xdr:col>1</xdr:col>
                    <xdr:colOff>1778000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4" name="Button 2">
              <controlPr defaultSize="0" print="0" autoPict="0" macro="[1]!UNPROTECT">
                <anchor moveWithCells="1" sizeWithCells="1">
                  <from>
                    <xdr:col>0</xdr:col>
                    <xdr:colOff>939800</xdr:colOff>
                    <xdr:row>0</xdr:row>
                    <xdr:rowOff>0</xdr:rowOff>
                  </from>
                  <to>
                    <xdr:col>0</xdr:col>
                    <xdr:colOff>1778000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5" name="Button 3">
              <controlPr defaultSize="0" print="0" autoPict="0" macro="[1]!Module1.PROTECT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939800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FEFE-2E74-4ADB-BEB1-01672984DC1C}">
  <sheetPr>
    <tabColor theme="8" tint="-0.249977111117893"/>
  </sheetPr>
  <dimension ref="A1:IX114"/>
  <sheetViews>
    <sheetView topLeftCell="A29" zoomScale="90" zoomScaleNormal="90" workbookViewId="0">
      <selection activeCell="IX16" sqref="IX16"/>
    </sheetView>
  </sheetViews>
  <sheetFormatPr baseColWidth="10" defaultColWidth="8.83203125" defaultRowHeight="15"/>
  <cols>
    <col min="1" max="1" width="10.1640625" style="5" customWidth="1"/>
    <col min="2" max="2" width="30.83203125" style="5" customWidth="1"/>
    <col min="3" max="3" width="14.5" style="5" customWidth="1"/>
    <col min="4" max="4" width="12.33203125" style="5" customWidth="1"/>
    <col min="5" max="5" width="21.83203125" style="5" customWidth="1"/>
    <col min="6" max="6" width="16" style="5" customWidth="1"/>
    <col min="7" max="7" width="8" style="5" customWidth="1"/>
    <col min="8" max="8" width="22.1640625" style="5" customWidth="1"/>
    <col min="9" max="9" width="15.5" style="5" customWidth="1"/>
    <col min="10" max="10" width="9.5" style="5" customWidth="1"/>
    <col min="11" max="11" width="11.6640625" style="5" customWidth="1"/>
    <col min="12" max="12" width="10.1640625" style="5" customWidth="1"/>
    <col min="13" max="13" width="13.5" style="5" customWidth="1"/>
    <col min="14" max="14" width="10.5" style="5" customWidth="1"/>
    <col min="15" max="255" width="8.83203125" style="5" hidden="1" customWidth="1"/>
    <col min="256" max="257" width="8.83203125" style="2"/>
    <col min="258" max="258" width="12.33203125" style="2" customWidth="1"/>
    <col min="259" max="16384" width="8.83203125" style="2"/>
  </cols>
  <sheetData>
    <row r="1" spans="1:258" ht="18.75" customHeight="1">
      <c r="A1" s="293" t="s">
        <v>0</v>
      </c>
      <c r="B1" s="11"/>
      <c r="C1" s="4"/>
      <c r="D1" s="12"/>
      <c r="E1" s="12"/>
      <c r="F1" s="12"/>
      <c r="G1" s="4"/>
      <c r="H1" s="385" t="s">
        <v>1</v>
      </c>
      <c r="I1" s="386"/>
      <c r="J1" s="386"/>
      <c r="K1" s="386"/>
      <c r="L1" s="386"/>
      <c r="M1" s="386"/>
      <c r="N1" s="386"/>
    </row>
    <row r="2" spans="1:258" ht="15.75" customHeight="1">
      <c r="A2" s="13" t="s">
        <v>1343</v>
      </c>
      <c r="B2" s="52"/>
      <c r="C2" s="4"/>
      <c r="E2" s="309" t="s">
        <v>149</v>
      </c>
      <c r="F2" s="52"/>
      <c r="G2" s="4"/>
      <c r="H2" s="9" t="s">
        <v>2</v>
      </c>
      <c r="I2" s="14" t="s">
        <v>3</v>
      </c>
      <c r="J2" s="14" t="s">
        <v>4</v>
      </c>
      <c r="K2" s="15" t="s">
        <v>5</v>
      </c>
      <c r="L2" s="14" t="s">
        <v>6</v>
      </c>
      <c r="M2" s="15" t="s">
        <v>7</v>
      </c>
      <c r="N2" s="15" t="s">
        <v>8</v>
      </c>
    </row>
    <row r="3" spans="1:258" ht="15" customHeight="1">
      <c r="A3" s="16"/>
      <c r="B3" s="16"/>
      <c r="C3" s="4"/>
      <c r="D3" s="4"/>
      <c r="E3" s="4"/>
      <c r="F3" s="4"/>
      <c r="G3" s="4"/>
      <c r="H3" s="9" t="s">
        <v>9</v>
      </c>
      <c r="I3" s="10">
        <v>0</v>
      </c>
      <c r="J3" s="10"/>
      <c r="K3" s="10"/>
      <c r="L3" s="10"/>
      <c r="M3" s="10">
        <v>0</v>
      </c>
      <c r="N3" s="10"/>
    </row>
    <row r="4" spans="1:258" ht="15" customHeight="1">
      <c r="A4" s="13" t="s">
        <v>10</v>
      </c>
      <c r="B4" s="17"/>
      <c r="C4" s="18"/>
      <c r="D4" s="4"/>
      <c r="E4" s="13" t="s">
        <v>11</v>
      </c>
      <c r="F4" s="18"/>
      <c r="G4" s="4"/>
      <c r="H4" s="9" t="s">
        <v>28</v>
      </c>
      <c r="I4" s="10">
        <v>0</v>
      </c>
      <c r="J4" s="10"/>
      <c r="K4" s="10"/>
      <c r="L4" s="10"/>
      <c r="M4" s="10">
        <v>0</v>
      </c>
      <c r="N4" s="10"/>
    </row>
    <row r="5" spans="1:258" ht="15.75" customHeight="1" thickBot="1">
      <c r="A5" s="4"/>
      <c r="B5" s="19" t="s">
        <v>12</v>
      </c>
      <c r="C5" s="20">
        <v>0</v>
      </c>
      <c r="D5" s="4"/>
      <c r="E5" s="21" t="s">
        <v>13</v>
      </c>
      <c r="F5" s="22">
        <v>0</v>
      </c>
      <c r="G5" s="4"/>
      <c r="H5" s="23"/>
      <c r="I5" s="291">
        <v>0</v>
      </c>
      <c r="J5" s="10"/>
      <c r="K5" s="10"/>
      <c r="L5" s="10"/>
      <c r="M5" s="10">
        <v>0</v>
      </c>
      <c r="N5" s="10"/>
    </row>
    <row r="6" spans="1:258" ht="15.75" customHeight="1" thickBot="1">
      <c r="A6" s="4"/>
      <c r="B6" s="19" t="s">
        <v>14</v>
      </c>
      <c r="C6" s="24">
        <v>0</v>
      </c>
      <c r="D6" s="6"/>
      <c r="E6" s="21" t="s">
        <v>15</v>
      </c>
      <c r="F6" s="25">
        <v>0</v>
      </c>
      <c r="G6" s="4"/>
      <c r="H6" s="23"/>
      <c r="I6" s="291">
        <v>0</v>
      </c>
      <c r="J6" s="10"/>
      <c r="K6" s="10"/>
      <c r="L6" s="10"/>
      <c r="M6" s="10">
        <v>0</v>
      </c>
      <c r="N6" s="10"/>
    </row>
    <row r="7" spans="1:258" ht="15.75" customHeight="1" thickBot="1">
      <c r="A7" s="4"/>
      <c r="B7" s="19" t="s">
        <v>16</v>
      </c>
      <c r="C7" s="24">
        <v>0</v>
      </c>
      <c r="D7" s="6"/>
      <c r="E7" s="21" t="s">
        <v>17</v>
      </c>
      <c r="F7" s="25">
        <v>0</v>
      </c>
      <c r="G7" s="4"/>
      <c r="H7" s="23"/>
      <c r="I7" s="291">
        <v>0</v>
      </c>
      <c r="J7" s="10"/>
      <c r="K7" s="10"/>
      <c r="L7" s="10"/>
      <c r="M7" s="10"/>
      <c r="N7" s="10"/>
    </row>
    <row r="8" spans="1:258" ht="15.75" customHeight="1" thickBot="1">
      <c r="A8" s="4"/>
      <c r="B8" s="19" t="s">
        <v>18</v>
      </c>
      <c r="C8" s="24">
        <v>0</v>
      </c>
      <c r="D8" s="6"/>
      <c r="E8" s="21" t="s">
        <v>19</v>
      </c>
      <c r="F8" s="25">
        <v>0</v>
      </c>
      <c r="G8" s="4"/>
      <c r="H8" s="23"/>
      <c r="I8" s="291">
        <v>0</v>
      </c>
      <c r="J8" s="10"/>
      <c r="K8" s="10"/>
      <c r="L8" s="10"/>
      <c r="M8" s="10"/>
      <c r="N8" s="10"/>
    </row>
    <row r="9" spans="1:258" ht="15.75" customHeight="1" thickBot="1">
      <c r="A9" s="4"/>
      <c r="B9" s="19" t="s">
        <v>1341</v>
      </c>
      <c r="C9" s="24">
        <v>0</v>
      </c>
      <c r="D9" s="4"/>
      <c r="E9" s="13" t="s">
        <v>21</v>
      </c>
      <c r="F9" s="25">
        <v>0</v>
      </c>
      <c r="G9" s="4"/>
      <c r="H9" s="9" t="s">
        <v>151</v>
      </c>
      <c r="I9" s="10">
        <v>0</v>
      </c>
      <c r="J9" s="10">
        <v>0</v>
      </c>
      <c r="K9" s="10">
        <v>0</v>
      </c>
      <c r="L9" s="26">
        <v>0</v>
      </c>
      <c r="M9" s="10">
        <v>0</v>
      </c>
      <c r="N9" s="10"/>
    </row>
    <row r="10" spans="1:258" ht="17.25" customHeight="1" thickBot="1">
      <c r="A10" s="4"/>
      <c r="B10" s="19" t="s">
        <v>20</v>
      </c>
      <c r="C10" s="24">
        <v>0</v>
      </c>
      <c r="D10" s="28"/>
      <c r="E10" s="21" t="s">
        <v>23</v>
      </c>
      <c r="F10" s="25">
        <v>0</v>
      </c>
      <c r="G10" s="4"/>
      <c r="H10" s="4"/>
      <c r="I10" s="4"/>
      <c r="J10" s="4"/>
      <c r="K10" s="4"/>
      <c r="L10" s="4"/>
      <c r="M10" s="4"/>
      <c r="N10" s="4"/>
    </row>
    <row r="11" spans="1:258" ht="16" customHeight="1" thickBot="1">
      <c r="A11" s="4"/>
      <c r="B11" s="19" t="s">
        <v>22</v>
      </c>
      <c r="C11" s="27"/>
      <c r="D11" s="4"/>
      <c r="E11" s="299" t="s">
        <v>24</v>
      </c>
      <c r="F11" s="29">
        <v>0</v>
      </c>
      <c r="G11" s="4"/>
      <c r="H11" s="395" t="s">
        <v>25</v>
      </c>
      <c r="I11" s="396"/>
      <c r="J11" s="23" t="s">
        <v>1366</v>
      </c>
      <c r="K11" s="23"/>
      <c r="L11" s="9" t="s">
        <v>26</v>
      </c>
      <c r="M11" s="23"/>
      <c r="N11" s="30"/>
    </row>
    <row r="12" spans="1:258" ht="16" customHeight="1" thickBot="1">
      <c r="A12" s="4"/>
      <c r="B12" s="16"/>
      <c r="C12" s="31"/>
      <c r="D12" s="4"/>
      <c r="E12" s="300" t="s">
        <v>1328</v>
      </c>
      <c r="F12" s="29">
        <v>0</v>
      </c>
      <c r="G12" s="4"/>
      <c r="H12" s="33">
        <v>1000</v>
      </c>
      <c r="I12" s="346" t="s">
        <v>27</v>
      </c>
      <c r="J12" s="53"/>
      <c r="K12" s="10">
        <v>0</v>
      </c>
      <c r="L12" s="35" t="s">
        <v>28</v>
      </c>
      <c r="M12" s="9" t="s">
        <v>29</v>
      </c>
      <c r="N12" s="36" t="s">
        <v>30</v>
      </c>
      <c r="IX12" s="65"/>
    </row>
    <row r="13" spans="1:258" ht="15.75" customHeight="1" thickBot="1">
      <c r="A13" s="4"/>
      <c r="B13" s="13" t="s">
        <v>31</v>
      </c>
      <c r="C13" s="76">
        <v>0</v>
      </c>
      <c r="D13" s="4"/>
      <c r="E13" s="6"/>
      <c r="F13" s="6"/>
      <c r="G13" s="4"/>
      <c r="H13" s="33">
        <v>500</v>
      </c>
      <c r="I13" s="346" t="s">
        <v>27</v>
      </c>
      <c r="J13" s="53"/>
      <c r="K13" s="10">
        <v>0</v>
      </c>
      <c r="L13" s="387" t="s">
        <v>32</v>
      </c>
      <c r="M13" s="388"/>
      <c r="N13" s="10"/>
    </row>
    <row r="14" spans="1:258" ht="15.75" customHeight="1" thickBot="1">
      <c r="A14" s="4"/>
      <c r="B14" s="13" t="s">
        <v>33</v>
      </c>
      <c r="C14" s="77">
        <v>0</v>
      </c>
      <c r="D14" s="4"/>
      <c r="E14" s="6"/>
      <c r="F14" s="6"/>
      <c r="G14" s="4"/>
      <c r="H14" s="33">
        <v>200</v>
      </c>
      <c r="I14" s="346" t="s">
        <v>27</v>
      </c>
      <c r="J14" s="53"/>
      <c r="K14" s="10">
        <v>0</v>
      </c>
      <c r="L14" s="387" t="s">
        <v>34</v>
      </c>
      <c r="M14" s="388"/>
      <c r="N14" s="10"/>
    </row>
    <row r="15" spans="1:258" ht="15.75" customHeight="1" thickBot="1">
      <c r="A15" s="4"/>
      <c r="B15" s="13" t="s">
        <v>1340</v>
      </c>
      <c r="C15" s="77">
        <v>0</v>
      </c>
      <c r="D15" s="4"/>
      <c r="E15" s="6"/>
      <c r="F15" s="6"/>
      <c r="G15" s="4"/>
      <c r="H15" s="33">
        <v>100</v>
      </c>
      <c r="I15" s="346" t="s">
        <v>27</v>
      </c>
      <c r="J15" s="53"/>
      <c r="K15" s="10">
        <v>0</v>
      </c>
      <c r="L15" s="391" t="s">
        <v>136</v>
      </c>
      <c r="M15" s="392"/>
      <c r="N15" s="10"/>
    </row>
    <row r="16" spans="1:258" ht="15.75" customHeight="1" thickBot="1">
      <c r="A16" s="4"/>
      <c r="B16" s="13" t="s">
        <v>35</v>
      </c>
      <c r="C16" s="77">
        <v>0</v>
      </c>
      <c r="D16" s="39"/>
      <c r="E16" s="13" t="s">
        <v>36</v>
      </c>
      <c r="F16" s="22">
        <v>0</v>
      </c>
      <c r="G16" s="4"/>
      <c r="H16" s="33">
        <v>50</v>
      </c>
      <c r="I16" s="346" t="s">
        <v>27</v>
      </c>
      <c r="J16" s="53"/>
      <c r="K16" s="10">
        <v>0</v>
      </c>
      <c r="L16" s="389" t="s">
        <v>39</v>
      </c>
      <c r="M16" s="390"/>
      <c r="N16" s="10"/>
    </row>
    <row r="17" spans="1:14" ht="15.75" customHeight="1" thickBot="1">
      <c r="A17" s="4"/>
      <c r="B17" s="13" t="s">
        <v>37</v>
      </c>
      <c r="C17" s="77">
        <v>0</v>
      </c>
      <c r="D17" s="39"/>
      <c r="E17" s="21" t="s">
        <v>38</v>
      </c>
      <c r="F17" s="25">
        <v>0</v>
      </c>
      <c r="G17" s="4"/>
      <c r="H17" s="33">
        <v>20</v>
      </c>
      <c r="I17" s="346" t="s">
        <v>27</v>
      </c>
      <c r="J17" s="53"/>
      <c r="K17" s="10">
        <v>0</v>
      </c>
      <c r="L17" s="389" t="s">
        <v>138</v>
      </c>
      <c r="M17" s="390"/>
      <c r="N17" s="10"/>
    </row>
    <row r="18" spans="1:14" ht="15.75" customHeight="1" thickBot="1">
      <c r="A18" s="4"/>
      <c r="B18" s="13" t="s">
        <v>40</v>
      </c>
      <c r="C18" s="77">
        <v>0</v>
      </c>
      <c r="D18" s="39"/>
      <c r="E18" s="21" t="s">
        <v>41</v>
      </c>
      <c r="F18" s="29">
        <v>0</v>
      </c>
      <c r="G18" s="4"/>
      <c r="H18" s="33">
        <v>10</v>
      </c>
      <c r="I18" s="346" t="s">
        <v>27</v>
      </c>
      <c r="J18" s="53"/>
      <c r="K18" s="10">
        <v>0</v>
      </c>
      <c r="L18" s="393" t="s">
        <v>132</v>
      </c>
      <c r="M18" s="394"/>
      <c r="N18" s="10"/>
    </row>
    <row r="19" spans="1:14" ht="15.75" customHeight="1" thickBot="1">
      <c r="A19" s="4"/>
      <c r="B19" s="13" t="s">
        <v>1324</v>
      </c>
      <c r="C19" s="77">
        <v>0</v>
      </c>
      <c r="D19" s="39"/>
      <c r="E19" s="21" t="s">
        <v>43</v>
      </c>
      <c r="F19" s="40">
        <v>0</v>
      </c>
      <c r="G19" s="4"/>
      <c r="H19" s="33">
        <v>5</v>
      </c>
      <c r="I19" s="346" t="s">
        <v>27</v>
      </c>
      <c r="J19" s="53"/>
      <c r="K19" s="10">
        <v>0</v>
      </c>
      <c r="L19" s="389" t="s">
        <v>140</v>
      </c>
      <c r="M19" s="390"/>
      <c r="N19" s="10"/>
    </row>
    <row r="20" spans="1:14" ht="15.75" customHeight="1" thickBot="1">
      <c r="A20" s="4"/>
      <c r="B20" s="13" t="s">
        <v>42</v>
      </c>
      <c r="C20" s="77">
        <v>0</v>
      </c>
      <c r="D20" s="4"/>
      <c r="E20" s="21" t="s">
        <v>45</v>
      </c>
      <c r="F20" s="25">
        <v>0</v>
      </c>
      <c r="G20" s="4"/>
      <c r="H20" s="33">
        <v>1</v>
      </c>
      <c r="I20" s="346" t="s">
        <v>27</v>
      </c>
      <c r="J20" s="54"/>
      <c r="K20" s="10">
        <v>0</v>
      </c>
      <c r="L20" s="305"/>
      <c r="M20" s="306"/>
      <c r="N20" s="10"/>
    </row>
    <row r="21" spans="1:14" ht="15.75" customHeight="1" thickBot="1">
      <c r="A21" s="4"/>
      <c r="B21" s="13" t="s">
        <v>44</v>
      </c>
      <c r="C21" s="77">
        <v>0</v>
      </c>
      <c r="D21" s="4"/>
      <c r="E21" s="21" t="s">
        <v>1329</v>
      </c>
      <c r="F21" s="302">
        <v>0</v>
      </c>
      <c r="G21" s="4"/>
      <c r="H21" s="33"/>
      <c r="I21" s="8"/>
      <c r="J21" s="54"/>
      <c r="K21" s="10"/>
      <c r="L21" s="305"/>
      <c r="M21" s="306"/>
      <c r="N21" s="10"/>
    </row>
    <row r="22" spans="1:14" ht="15.75" customHeight="1" thickBot="1">
      <c r="A22" s="4"/>
      <c r="B22" s="13" t="s">
        <v>46</v>
      </c>
      <c r="C22" s="77">
        <v>0</v>
      </c>
      <c r="D22" s="4"/>
      <c r="E22" s="41" t="s">
        <v>7</v>
      </c>
      <c r="F22" s="301"/>
      <c r="G22" s="4"/>
      <c r="H22" s="43"/>
      <c r="J22" s="53"/>
      <c r="K22" s="10"/>
      <c r="L22" s="303"/>
      <c r="M22" s="304"/>
      <c r="N22" s="10"/>
    </row>
    <row r="23" spans="1:14" ht="15.75" customHeight="1" thickBot="1">
      <c r="A23" s="4"/>
      <c r="B23" s="13" t="s">
        <v>1325</v>
      </c>
      <c r="C23" s="77">
        <v>0</v>
      </c>
      <c r="D23" s="4"/>
      <c r="E23" s="42"/>
      <c r="F23" s="32"/>
      <c r="G23" s="4"/>
      <c r="H23" s="14" t="s">
        <v>49</v>
      </c>
      <c r="I23" s="34"/>
      <c r="J23" s="34"/>
      <c r="K23" s="10"/>
      <c r="L23" s="303"/>
      <c r="M23" s="304"/>
      <c r="N23" s="10"/>
    </row>
    <row r="24" spans="1:14" ht="15.75" customHeight="1" thickBot="1">
      <c r="A24" s="4"/>
      <c r="B24" s="13" t="s">
        <v>47</v>
      </c>
      <c r="C24" s="77">
        <v>0</v>
      </c>
      <c r="D24" s="4"/>
      <c r="E24" s="28"/>
      <c r="F24" s="32"/>
      <c r="G24" s="4"/>
      <c r="H24" s="9" t="s">
        <v>7</v>
      </c>
      <c r="I24" s="34"/>
      <c r="J24" s="34"/>
      <c r="K24" s="26">
        <v>0</v>
      </c>
      <c r="L24" s="376"/>
      <c r="M24" s="377"/>
      <c r="N24" s="26">
        <v>0</v>
      </c>
    </row>
    <row r="25" spans="1:14" ht="15.75" customHeight="1" thickBot="1">
      <c r="A25" s="4"/>
      <c r="B25" s="13" t="s">
        <v>48</v>
      </c>
      <c r="C25" s="77">
        <v>0</v>
      </c>
      <c r="D25" s="4"/>
      <c r="E25" s="28"/>
      <c r="F25" s="32"/>
      <c r="G25" s="4"/>
      <c r="H25" s="2"/>
      <c r="I25" s="2"/>
      <c r="J25" s="2"/>
      <c r="K25" s="2"/>
      <c r="L25" s="2"/>
      <c r="M25" s="2"/>
      <c r="N25" s="2"/>
    </row>
    <row r="26" spans="1:14" ht="15.75" customHeight="1" thickBot="1">
      <c r="A26" s="4"/>
      <c r="B26" s="13" t="s">
        <v>50</v>
      </c>
      <c r="C26" s="77">
        <v>0</v>
      </c>
      <c r="D26" s="4"/>
      <c r="E26" s="28"/>
      <c r="F26" s="32"/>
      <c r="G26" s="4"/>
      <c r="H26" s="295"/>
      <c r="I26" s="296"/>
      <c r="J26" s="296"/>
      <c r="K26" s="297"/>
      <c r="L26" s="298"/>
      <c r="M26" s="298"/>
      <c r="N26" s="297"/>
    </row>
    <row r="27" spans="1:14" ht="15.75" customHeight="1" thickBot="1">
      <c r="A27" s="4"/>
      <c r="B27" s="13" t="s">
        <v>1326</v>
      </c>
      <c r="C27" s="77">
        <v>0</v>
      </c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75" customHeight="1" thickBot="1">
      <c r="A28" s="4"/>
      <c r="B28" s="13" t="s">
        <v>150</v>
      </c>
      <c r="C28" s="78">
        <v>0</v>
      </c>
      <c r="D28" s="4"/>
      <c r="F28" s="6"/>
      <c r="G28" s="4"/>
      <c r="H28" s="6"/>
      <c r="I28" s="6"/>
      <c r="J28" s="6"/>
      <c r="K28" s="6"/>
      <c r="L28" s="379" t="s">
        <v>51</v>
      </c>
      <c r="M28" s="380"/>
      <c r="N28" s="308"/>
    </row>
    <row r="29" spans="1:14" ht="17.25" customHeight="1" thickBot="1">
      <c r="A29" s="4"/>
      <c r="B29" s="13" t="s">
        <v>52</v>
      </c>
      <c r="C29" s="27"/>
      <c r="D29" s="4"/>
      <c r="E29" s="6"/>
      <c r="F29" s="6" t="s">
        <v>133</v>
      </c>
      <c r="G29" s="4"/>
      <c r="H29" s="9" t="s">
        <v>53</v>
      </c>
      <c r="I29" s="23"/>
      <c r="J29" s="30"/>
      <c r="K29" s="7"/>
      <c r="L29" s="378"/>
      <c r="M29" s="378"/>
      <c r="N29" s="10"/>
    </row>
    <row r="30" spans="1:14" ht="15.5" customHeight="1">
      <c r="A30" s="4"/>
      <c r="B30" s="16"/>
      <c r="C30" s="4"/>
      <c r="D30" s="4"/>
      <c r="E30" s="6"/>
      <c r="F30" s="6"/>
      <c r="G30" s="4"/>
      <c r="H30" s="35" t="s">
        <v>139</v>
      </c>
      <c r="I30" s="35" t="s">
        <v>29</v>
      </c>
      <c r="J30" s="36" t="s">
        <v>30</v>
      </c>
      <c r="K30" s="6"/>
      <c r="L30" s="378"/>
      <c r="M30" s="378"/>
      <c r="N30" s="10"/>
    </row>
    <row r="31" spans="1:14" ht="15.75" customHeight="1" thickBot="1">
      <c r="A31" s="4"/>
      <c r="B31" s="13" t="s">
        <v>54</v>
      </c>
      <c r="C31" s="18"/>
      <c r="D31" s="37">
        <v>0</v>
      </c>
      <c r="E31" s="4"/>
      <c r="F31" s="4"/>
      <c r="G31" s="4"/>
      <c r="H31" s="66"/>
      <c r="I31" s="34"/>
      <c r="J31" s="10"/>
      <c r="K31" s="6"/>
      <c r="L31" s="378"/>
      <c r="M31" s="378"/>
      <c r="N31" s="10"/>
    </row>
    <row r="32" spans="1:14" ht="15.5" customHeight="1">
      <c r="A32" s="4"/>
      <c r="B32" s="44" t="s">
        <v>55</v>
      </c>
      <c r="C32" s="4"/>
      <c r="D32" s="45">
        <v>0</v>
      </c>
      <c r="E32" s="4"/>
      <c r="F32" s="4"/>
      <c r="G32" s="4"/>
      <c r="H32" s="66"/>
      <c r="I32" s="34"/>
      <c r="J32" s="10"/>
      <c r="K32" s="6"/>
      <c r="L32" s="378"/>
      <c r="M32" s="378"/>
      <c r="N32" s="10"/>
    </row>
    <row r="33" spans="1:14" ht="15.75" customHeight="1" thickBot="1">
      <c r="A33" s="4"/>
      <c r="B33" s="13" t="s">
        <v>56</v>
      </c>
      <c r="C33" s="18"/>
      <c r="D33" s="37">
        <v>0</v>
      </c>
      <c r="E33" s="4"/>
      <c r="F33" s="4"/>
      <c r="G33" s="4"/>
      <c r="H33" s="66"/>
      <c r="I33" s="34"/>
      <c r="J33" s="10"/>
      <c r="K33" s="6"/>
      <c r="L33" s="378"/>
      <c r="M33" s="378"/>
      <c r="N33" s="10"/>
    </row>
    <row r="34" spans="1:14" ht="15.5" customHeight="1">
      <c r="A34" s="4"/>
      <c r="B34" s="44" t="s">
        <v>55</v>
      </c>
      <c r="C34" s="4"/>
      <c r="D34" s="31"/>
      <c r="E34" s="4"/>
      <c r="F34" s="4"/>
      <c r="G34" s="4"/>
      <c r="H34" s="66"/>
      <c r="I34" s="34"/>
      <c r="J34" s="10"/>
      <c r="K34" s="31"/>
      <c r="L34" s="378"/>
      <c r="M34" s="378"/>
      <c r="N34" s="10"/>
    </row>
    <row r="35" spans="1:14" ht="15.75" customHeight="1" thickBot="1">
      <c r="A35" s="4"/>
      <c r="B35" s="13" t="s">
        <v>57</v>
      </c>
      <c r="C35" s="18"/>
      <c r="D35" s="37">
        <v>0</v>
      </c>
      <c r="E35" s="4"/>
      <c r="F35" s="4"/>
      <c r="G35" s="4"/>
      <c r="H35" s="66"/>
      <c r="I35" s="34"/>
      <c r="J35" s="10"/>
      <c r="K35" s="31"/>
      <c r="L35" s="378"/>
      <c r="M35" s="378"/>
      <c r="N35" s="10"/>
    </row>
    <row r="36" spans="1:14" ht="15.5" customHeight="1">
      <c r="A36" s="4"/>
      <c r="B36" s="44" t="s">
        <v>55</v>
      </c>
      <c r="C36" s="4"/>
      <c r="D36" s="31"/>
      <c r="E36" s="4"/>
      <c r="F36" s="4"/>
      <c r="G36" s="4"/>
      <c r="H36" s="66"/>
      <c r="I36" s="34"/>
      <c r="J36" s="10"/>
      <c r="K36" s="31"/>
      <c r="L36" s="378"/>
      <c r="M36" s="378"/>
      <c r="N36" s="10"/>
    </row>
    <row r="37" spans="1:14" ht="15.75" customHeight="1" thickBot="1">
      <c r="A37" s="4"/>
      <c r="B37" s="13" t="s">
        <v>58</v>
      </c>
      <c r="C37" s="18"/>
      <c r="D37" s="37">
        <v>0</v>
      </c>
      <c r="E37" s="4"/>
      <c r="F37" s="4"/>
      <c r="G37" s="4"/>
      <c r="H37" s="66"/>
      <c r="I37" s="34"/>
      <c r="J37" s="10"/>
      <c r="K37" s="31"/>
      <c r="L37" s="383" t="s">
        <v>59</v>
      </c>
      <c r="M37" s="384"/>
      <c r="N37" s="26">
        <v>0</v>
      </c>
    </row>
    <row r="38" spans="1:14" ht="15.5" customHeight="1">
      <c r="A38" s="4"/>
      <c r="B38" s="44" t="s">
        <v>60</v>
      </c>
      <c r="C38" s="4"/>
      <c r="D38" s="31"/>
      <c r="E38" s="4"/>
      <c r="F38" s="4"/>
      <c r="G38" s="4"/>
      <c r="H38" s="66"/>
      <c r="I38" s="34"/>
      <c r="J38" s="10"/>
      <c r="K38" s="31"/>
      <c r="L38" s="4"/>
      <c r="M38" s="4"/>
      <c r="N38" s="31"/>
    </row>
    <row r="39" spans="1:14" ht="15.75" customHeight="1" thickBot="1">
      <c r="A39" s="4"/>
      <c r="B39" s="13" t="s">
        <v>61</v>
      </c>
      <c r="C39" s="18"/>
      <c r="D39" s="37">
        <v>0</v>
      </c>
      <c r="E39" s="4"/>
      <c r="F39" s="4"/>
      <c r="G39" s="4"/>
      <c r="H39" s="66"/>
      <c r="I39" s="34"/>
      <c r="J39" s="10"/>
      <c r="K39" s="31"/>
      <c r="L39" s="4"/>
      <c r="M39" s="4"/>
      <c r="N39" s="31"/>
    </row>
    <row r="40" spans="1:14" ht="16" customHeight="1">
      <c r="A40" s="4"/>
      <c r="B40" s="44" t="s">
        <v>60</v>
      </c>
      <c r="C40" s="4"/>
      <c r="D40" s="31"/>
      <c r="E40" s="4"/>
      <c r="F40" s="4"/>
      <c r="G40" s="4"/>
      <c r="H40" s="66"/>
      <c r="I40" s="34"/>
      <c r="J40" s="10"/>
      <c r="K40" s="31"/>
      <c r="L40" s="4"/>
      <c r="M40" s="4"/>
      <c r="N40" s="31"/>
    </row>
    <row r="41" spans="1:14" ht="16" customHeight="1" thickBot="1">
      <c r="A41" s="4"/>
      <c r="B41" s="293" t="s">
        <v>1327</v>
      </c>
      <c r="C41" s="294"/>
      <c r="D41" s="37">
        <v>0</v>
      </c>
      <c r="E41" s="4"/>
      <c r="F41" s="4"/>
      <c r="G41" s="4"/>
      <c r="H41" s="66"/>
      <c r="I41" s="34"/>
      <c r="J41" s="10"/>
      <c r="K41" s="31"/>
      <c r="L41" s="4"/>
      <c r="M41" s="4"/>
      <c r="N41" s="31"/>
    </row>
    <row r="42" spans="1:14" ht="15.75" customHeight="1" thickBot="1">
      <c r="A42" s="4"/>
      <c r="B42" s="44" t="s">
        <v>1342</v>
      </c>
      <c r="C42" s="4"/>
      <c r="D42" s="4"/>
      <c r="E42" s="46"/>
      <c r="F42" s="4"/>
      <c r="G42" s="4"/>
      <c r="H42" s="374" t="s">
        <v>62</v>
      </c>
      <c r="I42" s="375"/>
      <c r="J42" s="26">
        <v>0</v>
      </c>
      <c r="K42" s="31"/>
      <c r="L42" s="4"/>
      <c r="M42" s="4"/>
      <c r="N42" s="31"/>
    </row>
    <row r="43" spans="1:14" ht="15.75" customHeight="1">
      <c r="A43" s="13" t="s">
        <v>26</v>
      </c>
      <c r="B43" s="16"/>
      <c r="C43" s="4"/>
      <c r="D43" s="4"/>
      <c r="E43" s="70" t="s">
        <v>63</v>
      </c>
      <c r="F43" s="381" t="s">
        <v>64</v>
      </c>
      <c r="G43" s="382"/>
      <c r="H43" s="6"/>
      <c r="I43" s="6"/>
      <c r="J43" s="6"/>
      <c r="K43" s="6"/>
      <c r="L43" s="6"/>
      <c r="M43" s="6"/>
      <c r="N43" s="6"/>
    </row>
    <row r="44" spans="1:14" ht="15.75" customHeight="1" thickBot="1">
      <c r="A44" s="16"/>
      <c r="B44" s="13" t="s">
        <v>65</v>
      </c>
      <c r="C44" s="8" t="s">
        <v>66</v>
      </c>
      <c r="D44" s="37">
        <v>0</v>
      </c>
      <c r="E44" s="71"/>
      <c r="F44" s="53"/>
      <c r="G44" s="53"/>
      <c r="H44" s="68" t="s">
        <v>67</v>
      </c>
      <c r="I44" s="23"/>
      <c r="J44" s="47" t="s">
        <v>68</v>
      </c>
      <c r="K44" s="47" t="s">
        <v>69</v>
      </c>
      <c r="L44" s="6"/>
      <c r="M44" s="6"/>
      <c r="N44" s="6"/>
    </row>
    <row r="45" spans="1:14" ht="15.75" customHeight="1" thickBot="1">
      <c r="A45" s="16"/>
      <c r="B45" s="13" t="s">
        <v>70</v>
      </c>
      <c r="C45" s="8" t="s">
        <v>66</v>
      </c>
      <c r="D45" s="38">
        <v>0</v>
      </c>
      <c r="E45" s="34"/>
      <c r="F45" s="74"/>
      <c r="G45" s="75"/>
      <c r="H45" s="69" t="s">
        <v>28</v>
      </c>
      <c r="I45" s="35" t="s">
        <v>29</v>
      </c>
      <c r="J45" s="36" t="s">
        <v>30</v>
      </c>
      <c r="K45" s="36" t="s">
        <v>30</v>
      </c>
      <c r="L45" s="6"/>
      <c r="M45" s="6"/>
      <c r="N45" s="6"/>
    </row>
    <row r="46" spans="1:14" ht="15.75" customHeight="1" thickBot="1">
      <c r="A46" s="16"/>
      <c r="B46" s="13" t="s">
        <v>71</v>
      </c>
      <c r="C46" s="8" t="s">
        <v>66</v>
      </c>
      <c r="D46" s="38">
        <v>0</v>
      </c>
      <c r="E46" s="43"/>
      <c r="F46" s="34"/>
      <c r="G46" s="34"/>
      <c r="H46" s="67"/>
      <c r="I46" s="34"/>
      <c r="J46" s="10"/>
      <c r="K46" s="10"/>
      <c r="L46" s="6"/>
      <c r="M46" s="6"/>
      <c r="N46" s="6"/>
    </row>
    <row r="47" spans="1:14" ht="15.75" customHeight="1" thickBot="1">
      <c r="A47" s="16"/>
      <c r="B47" s="13" t="s">
        <v>72</v>
      </c>
      <c r="C47" s="8" t="s">
        <v>66</v>
      </c>
      <c r="D47" s="38">
        <v>0</v>
      </c>
      <c r="E47" s="72"/>
      <c r="F47" s="10"/>
      <c r="G47" s="58"/>
      <c r="H47" s="67"/>
      <c r="I47" s="34"/>
      <c r="J47" s="10"/>
      <c r="K47" s="10"/>
      <c r="L47" s="6"/>
      <c r="M47" s="6"/>
      <c r="N47" s="6"/>
    </row>
    <row r="48" spans="1:14" ht="15.75" customHeight="1" thickBot="1">
      <c r="A48" s="16"/>
      <c r="B48" s="13" t="s">
        <v>73</v>
      </c>
      <c r="C48" s="8" t="s">
        <v>66</v>
      </c>
      <c r="D48" s="38">
        <v>0</v>
      </c>
      <c r="E48" s="72"/>
      <c r="F48" s="10"/>
      <c r="G48" s="10"/>
      <c r="H48" s="67"/>
      <c r="I48" s="34"/>
      <c r="J48" s="10"/>
      <c r="K48" s="10"/>
      <c r="L48" s="6"/>
      <c r="M48" s="6"/>
      <c r="N48" s="6"/>
    </row>
    <row r="49" spans="1:14" ht="17.25" customHeight="1" thickBot="1">
      <c r="A49" s="16"/>
      <c r="B49" s="13" t="s">
        <v>7</v>
      </c>
      <c r="C49" s="8" t="s">
        <v>66</v>
      </c>
      <c r="D49" s="48">
        <v>0</v>
      </c>
      <c r="E49" s="72"/>
      <c r="F49" s="34"/>
      <c r="G49" s="34"/>
      <c r="H49" s="67"/>
      <c r="I49" s="34"/>
      <c r="J49" s="10"/>
      <c r="K49" s="10"/>
      <c r="L49" s="6"/>
      <c r="M49" s="6"/>
      <c r="N49" s="6"/>
    </row>
    <row r="50" spans="1:14" ht="15.5" customHeight="1">
      <c r="A50" s="16"/>
      <c r="B50" s="16"/>
      <c r="C50" s="4"/>
      <c r="D50" s="31"/>
      <c r="E50" s="73"/>
      <c r="F50" s="34"/>
      <c r="G50" s="34"/>
      <c r="H50" s="67"/>
      <c r="I50" s="34"/>
      <c r="J50" s="10"/>
      <c r="K50" s="10"/>
      <c r="L50" s="6"/>
      <c r="M50" s="6"/>
      <c r="N50" s="6"/>
    </row>
    <row r="51" spans="1:14" ht="15" customHeight="1">
      <c r="A51" s="13" t="s">
        <v>74</v>
      </c>
      <c r="B51" s="17"/>
      <c r="C51" s="18"/>
      <c r="D51" s="4"/>
      <c r="E51" s="73"/>
      <c r="F51" s="34"/>
      <c r="G51" s="34"/>
      <c r="H51" s="67"/>
      <c r="I51" s="34"/>
      <c r="J51" s="10"/>
      <c r="K51" s="10"/>
      <c r="L51" s="6"/>
      <c r="M51" s="6"/>
      <c r="N51" s="6"/>
    </row>
    <row r="52" spans="1:14" ht="15.75" customHeight="1" thickBot="1">
      <c r="A52" s="11" t="s">
        <v>75</v>
      </c>
      <c r="B52" s="13" t="s">
        <v>76</v>
      </c>
      <c r="C52" s="20">
        <v>0</v>
      </c>
      <c r="D52" s="4"/>
      <c r="E52" s="73"/>
      <c r="F52" s="34"/>
      <c r="G52" s="34"/>
      <c r="H52" s="67"/>
      <c r="I52" s="34"/>
      <c r="J52" s="10"/>
      <c r="K52" s="10"/>
      <c r="L52" s="6"/>
      <c r="M52" s="6"/>
      <c r="N52" s="6"/>
    </row>
    <row r="53" spans="1:14" ht="15.75" customHeight="1" thickBot="1">
      <c r="A53" s="82" t="s">
        <v>77</v>
      </c>
      <c r="B53" s="13" t="s">
        <v>26</v>
      </c>
      <c r="C53" s="24">
        <v>0</v>
      </c>
      <c r="D53" s="4"/>
      <c r="E53" s="73"/>
      <c r="F53" s="34"/>
      <c r="G53" s="34"/>
      <c r="H53" s="67"/>
      <c r="I53" s="34"/>
      <c r="J53" s="10"/>
      <c r="K53" s="10"/>
      <c r="L53" s="6"/>
      <c r="M53" s="6"/>
      <c r="N53" s="6"/>
    </row>
    <row r="54" spans="1:14" ht="15.75" customHeight="1" thickBot="1">
      <c r="A54" s="16"/>
      <c r="B54" s="13" t="s">
        <v>7</v>
      </c>
      <c r="C54" s="24">
        <v>0</v>
      </c>
      <c r="D54" s="4"/>
      <c r="E54" s="4"/>
      <c r="F54" s="4"/>
      <c r="G54" s="4"/>
      <c r="H54" s="34"/>
      <c r="I54" s="34"/>
      <c r="J54" s="10"/>
      <c r="K54" s="10"/>
      <c r="L54" s="6"/>
      <c r="M54" s="6"/>
      <c r="N54" s="6"/>
    </row>
    <row r="55" spans="1:14" ht="15.75" customHeight="1" thickBot="1">
      <c r="A55" s="16"/>
      <c r="B55" s="16"/>
      <c r="C55" s="4"/>
      <c r="D55" s="4"/>
      <c r="E55" s="6"/>
      <c r="F55" s="6"/>
      <c r="G55" s="6"/>
      <c r="H55" s="34"/>
      <c r="I55" s="34"/>
      <c r="J55" s="10"/>
      <c r="K55" s="10"/>
      <c r="L55" s="6"/>
      <c r="M55" s="6"/>
      <c r="N55" s="6"/>
    </row>
    <row r="56" spans="1:14" ht="15.75" customHeight="1" thickBot="1">
      <c r="A56" s="49" t="s">
        <v>78</v>
      </c>
      <c r="B56" s="50"/>
      <c r="C56" s="79">
        <v>0</v>
      </c>
      <c r="D56" s="31">
        <v>0</v>
      </c>
      <c r="E56" s="6"/>
      <c r="F56" s="6"/>
      <c r="G56" s="6"/>
      <c r="H56" s="374" t="s">
        <v>62</v>
      </c>
      <c r="I56" s="375"/>
      <c r="J56" s="26">
        <v>0</v>
      </c>
      <c r="K56" s="26">
        <v>0</v>
      </c>
      <c r="L56" s="6"/>
      <c r="M56" s="6"/>
      <c r="N56" s="6"/>
    </row>
    <row r="57" spans="1:14" ht="15.75" customHeight="1" thickBot="1">
      <c r="A57" s="49" t="s">
        <v>79</v>
      </c>
      <c r="B57" s="50"/>
      <c r="C57" s="80">
        <v>0</v>
      </c>
      <c r="D57" s="55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ht="15.75" customHeight="1" thickBot="1">
      <c r="A58" s="49" t="s">
        <v>80</v>
      </c>
      <c r="B58" s="50"/>
      <c r="C58" s="83">
        <v>0</v>
      </c>
      <c r="D58" s="4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ht="15.75" customHeight="1" thickBot="1">
      <c r="A59" s="49" t="s">
        <v>81</v>
      </c>
      <c r="B59" s="50"/>
      <c r="C59" s="84">
        <v>0</v>
      </c>
      <c r="D59" s="4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ht="15.75" customHeight="1" thickBot="1">
      <c r="A60" s="49" t="s">
        <v>82</v>
      </c>
      <c r="B60" s="50"/>
      <c r="C60" s="84">
        <v>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ht="15.75" customHeight="1" thickBot="1">
      <c r="A61" s="49" t="s">
        <v>83</v>
      </c>
      <c r="B61" s="50"/>
      <c r="C61" s="84">
        <v>0</v>
      </c>
      <c r="D61" s="4"/>
      <c r="F61" s="6"/>
      <c r="G61" s="6"/>
      <c r="H61" s="6"/>
      <c r="I61" s="6"/>
      <c r="J61" s="6"/>
      <c r="K61" s="6"/>
      <c r="L61" s="6"/>
      <c r="M61" s="6"/>
      <c r="N61" s="6"/>
    </row>
    <row r="62" spans="1:14" ht="15.75" customHeight="1" thickBot="1">
      <c r="A62" s="49" t="s">
        <v>84</v>
      </c>
      <c r="B62" s="50"/>
      <c r="C62" s="84">
        <v>0</v>
      </c>
      <c r="D62" s="4"/>
      <c r="E62" s="11" t="s">
        <v>85</v>
      </c>
      <c r="F62" s="6"/>
      <c r="G62" s="6"/>
      <c r="H62" s="6"/>
      <c r="I62" s="6"/>
      <c r="J62" s="6"/>
      <c r="K62" s="6"/>
      <c r="L62" s="6"/>
      <c r="M62" s="6"/>
      <c r="N62" s="6"/>
    </row>
    <row r="63" spans="1:14" ht="15.75" customHeight="1" thickBot="1">
      <c r="A63" s="49" t="s">
        <v>86</v>
      </c>
      <c r="B63" s="50"/>
      <c r="C63" s="84">
        <v>0</v>
      </c>
      <c r="D63" s="4"/>
      <c r="E63" s="81"/>
      <c r="F63" s="51"/>
      <c r="G63" s="51"/>
      <c r="H63" s="6"/>
      <c r="I63" s="6"/>
      <c r="J63" s="6"/>
      <c r="K63" s="6"/>
      <c r="L63" s="6"/>
      <c r="M63" s="6"/>
      <c r="N63" s="6"/>
    </row>
    <row r="64" spans="1:14" ht="15.75" customHeight="1" thickBot="1">
      <c r="A64" s="49" t="s">
        <v>87</v>
      </c>
      <c r="B64" s="50"/>
      <c r="C64" s="84">
        <v>0</v>
      </c>
      <c r="D64" s="4"/>
      <c r="E64" s="16" t="s">
        <v>129</v>
      </c>
      <c r="F64" s="16"/>
      <c r="G64" s="4"/>
      <c r="H64" s="6"/>
      <c r="I64" s="6"/>
      <c r="J64" s="6"/>
      <c r="K64" s="6"/>
      <c r="L64" s="6"/>
      <c r="M64" s="6"/>
      <c r="N64" s="6"/>
    </row>
    <row r="65" spans="1:14" ht="15.5" customHeight="1" thickBot="1">
      <c r="A65" s="49" t="s">
        <v>1330</v>
      </c>
      <c r="B65" s="50"/>
      <c r="C65" s="84">
        <v>0</v>
      </c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</row>
    <row r="66" spans="1:14" ht="16" customHeight="1">
      <c r="A66" s="2"/>
      <c r="B66" s="2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</row>
    <row r="67" spans="1:14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" hidden="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5" hidden="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5" hidden="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5" hidden="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5" hidden="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" hidden="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5" hidden="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" hidden="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5" hidden="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" hidden="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5" hidden="1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" hidden="1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5" hidden="1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" hidden="1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" hidden="1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" hidden="1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" hidden="1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" hidden="1" customHeight="1">
      <c r="A113" s="3"/>
      <c r="B113" s="3"/>
      <c r="C113" s="3"/>
      <c r="D113" s="3"/>
      <c r="E113" s="3"/>
      <c r="F113" s="3"/>
      <c r="G113" s="3"/>
      <c r="H113" s="2"/>
      <c r="I113" s="2"/>
      <c r="J113" s="2"/>
      <c r="K113" s="2"/>
      <c r="L113" s="2"/>
      <c r="M113" s="2"/>
      <c r="N113" s="2"/>
    </row>
    <row r="114" spans="1:14" ht="15" hidden="1" customHeight="1">
      <c r="A114" s="3"/>
      <c r="B114" s="3"/>
      <c r="C114" s="3"/>
      <c r="D114" s="3"/>
      <c r="E114" s="3"/>
      <c r="F114" s="3"/>
      <c r="G114" s="3"/>
      <c r="H114" s="2"/>
      <c r="I114" s="2"/>
      <c r="J114" s="2"/>
      <c r="K114" s="2"/>
      <c r="L114" s="2"/>
      <c r="M114" s="2"/>
      <c r="N114" s="2"/>
    </row>
  </sheetData>
  <mergeCells count="23">
    <mergeCell ref="L37:M37"/>
    <mergeCell ref="H42:I42"/>
    <mergeCell ref="F43:G43"/>
    <mergeCell ref="H56:I56"/>
    <mergeCell ref="L31:M31"/>
    <mergeCell ref="L32:M32"/>
    <mergeCell ref="L33:M33"/>
    <mergeCell ref="L34:M34"/>
    <mergeCell ref="L35:M35"/>
    <mergeCell ref="L36:M36"/>
    <mergeCell ref="L30:M30"/>
    <mergeCell ref="H1:N1"/>
    <mergeCell ref="L13:M13"/>
    <mergeCell ref="L14:M14"/>
    <mergeCell ref="L15:M15"/>
    <mergeCell ref="L16:M16"/>
    <mergeCell ref="L17:M17"/>
    <mergeCell ref="L18:M18"/>
    <mergeCell ref="L19:M19"/>
    <mergeCell ref="L24:M24"/>
    <mergeCell ref="L28:M28"/>
    <mergeCell ref="L29:M29"/>
    <mergeCell ref="H11:I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FRONT </vt:lpstr>
      <vt:lpstr>WALK IN</vt:lpstr>
      <vt:lpstr>DELIVERY</vt:lpstr>
      <vt:lpstr>SHIPPING</vt:lpstr>
      <vt:lpstr>CREDIT CARD</vt:lpstr>
      <vt:lpstr>RECEIPT TRACKER</vt:lpstr>
      <vt:lpstr>PRODUCT LIST</vt:lpstr>
      <vt:lpstr>NO SALE-FRONT</vt:lpstr>
      <vt:lpstr>Chart1</vt:lpstr>
      <vt:lpstr>'CREDIT CARD'!Print_Area</vt:lpstr>
      <vt:lpstr>DELIVERY!Print_Area</vt:lpstr>
      <vt:lpstr>'FRONT '!Print_Area</vt:lpstr>
      <vt:lpstr>'RECEIPT TRACKER'!Print_Area</vt:lpstr>
      <vt:lpstr>SHIPPING!Print_Area</vt:lpstr>
      <vt:lpstr>'WALK IN'!Print_Area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GWS</dc:creator>
  <cp:lastModifiedBy>Micah Vinluan</cp:lastModifiedBy>
  <cp:lastPrinted>2026-09-22T10:20:21Z</cp:lastPrinted>
  <dcterms:created xsi:type="dcterms:W3CDTF">2023-11-02T04:22:21Z</dcterms:created>
  <dcterms:modified xsi:type="dcterms:W3CDTF">2026-09-23T09:30:50Z</dcterms:modified>
</cp:coreProperties>
</file>
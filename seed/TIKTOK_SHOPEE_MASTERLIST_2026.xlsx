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micahVinluan/Downloads/"/>
    </mc:Choice>
  </mc:AlternateContent>
  <xr:revisionPtr revIDLastSave="0" documentId="13_ncr:1_{8A9BC777-43E3-C348-B1D1-B722D041BF36}" xr6:coauthVersionLast="47" xr6:coauthVersionMax="47" xr10:uidLastSave="{00000000-0000-0000-0000-000000000000}"/>
  <bookViews>
    <workbookView xWindow="0" yWindow="760" windowWidth="34560" windowHeight="201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" l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tc={15579b04-cb07-4f26-9945-058b97a6bc4c}</author>
    <author>tc={09a8ed43-58eb-4117-9b7e-6fc2f02d5be2}</author>
    <author>tc={08c1410d-0cfe-4032-afa2-5316ac23766a}</author>
    <author>tc={b007af89-102b-47dc-bfa5-9a0a54b8eb97}</author>
  </authors>
  <commentList>
    <comment ref="D50" authorId="0" shapeId="0" xr:uid="{00000000-0006-0000-0000-000002000000}">
      <text>
        <r>
          <rPr>
            <sz val="12"/>
            <color theme="1"/>
            <rFont val="Calibri"/>
            <scheme val="minor"/>
          </rPr>
          <t xml:space="preserve">2596 new cost
</t>
        </r>
      </text>
    </comment>
    <comment ref="E50" authorId="0" shapeId="0" xr:uid="{00000000-0006-0000-0000-000005000000}">
      <text>
        <r>
          <rPr>
            <sz val="12"/>
            <color theme="1"/>
            <rFont val="Calibri"/>
            <scheme val="minor"/>
          </rPr>
          <t xml:space="preserve">3200 new srp
</t>
        </r>
      </text>
    </comment>
    <comment ref="F50" authorId="1" shapeId="0" xr:uid="{15579B04-CB07-4F26-9945-058B97A6BC4C}">
      <text>
        <t>[Threaded comment]
Your version of Excel allows you to read this threaded comment; however, any edits to it will get removed if the file is opened in a newer version of Excel. Learn more: https://go.microsoft.com/fwlink/?linkid=870924
Comment:
    3750 before</t>
      </text>
    </comment>
    <comment ref="G50" authorId="2" shapeId="0" xr:uid="{09A8ED43-58EB-4117-9B7E-6FC2F02D5BE2}">
      <text>
        <t>[Threaded comment]
Your version of Excel allows you to read this threaded comment; however, any edits to it will get removed if the file is opened in a newer version of Excel. Learn more: https://go.microsoft.com/fwlink/?linkid=870924
Comment:
    3600 before</t>
      </text>
    </comment>
    <comment ref="D58" authorId="0" shapeId="0" xr:uid="{00000000-0006-0000-0000-000007000000}">
      <text>
        <r>
          <rPr>
            <sz val="12"/>
            <color theme="1"/>
            <rFont val="Calibri"/>
            <scheme val="minor"/>
          </rPr>
          <t xml:space="preserve">5669 new cost
</t>
        </r>
      </text>
    </comment>
    <comment ref="E58" authorId="0" shapeId="0" xr:uid="{00000000-0006-0000-0000-000008000000}">
      <text>
        <r>
          <rPr>
            <sz val="12"/>
            <color theme="1"/>
            <rFont val="Calibri"/>
            <scheme val="minor"/>
          </rPr>
          <t xml:space="preserve">6760 padin srp
</t>
        </r>
      </text>
    </comment>
    <comment ref="F58" authorId="3" shapeId="0" xr:uid="{08C1410D-0CFE-4032-AFA2-5316AC23766A}">
      <text>
        <t>[Threaded comment]
Your version of Excel allows you to read this threaded comment; however, any edits to it will get removed if the file is opened in a newer version of Excel. Learn more: https://go.microsoft.com/fwlink/?linkid=870924
Comment:
    7050 before</t>
      </text>
    </comment>
    <comment ref="G58" authorId="4" shapeId="0" xr:uid="{B007AF89-102B-47DC-BFA5-9A0A54B8EB97}">
      <text>
        <t>[Threaded comment]
Your version of Excel allows you to read this threaded comment; however, any edits to it will get removed if the file is opened in a newer version of Excel. Learn more: https://go.microsoft.com/fwlink/?linkid=870924
Comment:
    6340 before</t>
      </text>
    </comment>
    <comment ref="D67" authorId="0" shapeId="0" xr:uid="{00000000-0006-0000-0000-000001000000}">
      <text>
        <r>
          <rPr>
            <sz val="12"/>
            <color theme="1"/>
            <rFont val="Calibri"/>
            <scheme val="minor"/>
          </rPr>
          <t>2700 new cost</t>
        </r>
      </text>
    </comment>
    <comment ref="E67" authorId="0" shapeId="0" xr:uid="{00000000-0006-0000-0000-000003000000}">
      <text>
        <r>
          <rPr>
            <sz val="12"/>
            <color theme="1"/>
            <rFont val="Calibri"/>
            <scheme val="minor"/>
          </rPr>
          <t xml:space="preserve">3850 new srp
</t>
        </r>
      </text>
    </comment>
    <comment ref="D82" authorId="0" shapeId="0" xr:uid="{00000000-0006-0000-0000-000004000000}">
      <text>
        <r>
          <rPr>
            <sz val="12"/>
            <color theme="1"/>
            <rFont val="Calibri"/>
            <scheme val="minor"/>
          </rPr>
          <t xml:space="preserve">480 new cost
</t>
        </r>
      </text>
    </comment>
    <comment ref="E82" authorId="0" shapeId="0" xr:uid="{00000000-0006-0000-0000-000006000000}">
      <text>
        <r>
          <rPr>
            <sz val="12"/>
            <color theme="1"/>
            <rFont val="Calibri"/>
            <scheme val="minor"/>
          </rPr>
          <t xml:space="preserve">800 new srp
</t>
        </r>
      </text>
    </comment>
    <comment ref="D89" authorId="0" shapeId="0" xr:uid="{00000000-0006-0000-0000-000009000000}">
      <text>
        <r>
          <rPr>
            <sz val="12"/>
            <color theme="1"/>
            <rFont val="Calibri"/>
            <scheme val="minor"/>
          </rPr>
          <t>800 new cost</t>
        </r>
      </text>
    </comment>
    <comment ref="E89" authorId="0" shapeId="0" xr:uid="{00000000-0006-0000-0000-00000A000000}">
      <text>
        <r>
          <rPr>
            <sz val="12"/>
            <color theme="1"/>
            <rFont val="Calibri"/>
            <scheme val="minor"/>
          </rPr>
          <t xml:space="preserve">1250 new srp
</t>
        </r>
      </text>
    </comment>
  </commentList>
</comments>
</file>

<file path=xl/sharedStrings.xml><?xml version="1.0" encoding="utf-8"?>
<sst xmlns="http://schemas.openxmlformats.org/spreadsheetml/2006/main" count="524" uniqueCount="243">
  <si>
    <t>cortex</t>
  </si>
  <si>
    <t>PRODUCT NAME</t>
  </si>
  <si>
    <t>cost</t>
  </si>
  <si>
    <t>srp</t>
  </si>
  <si>
    <t>cortex profit</t>
  </si>
  <si>
    <t>Wake</t>
  </si>
  <si>
    <t>Category</t>
  </si>
  <si>
    <t>Tiktok</t>
  </si>
  <si>
    <t>SRP</t>
  </si>
  <si>
    <t xml:space="preserve">Tiktok </t>
  </si>
  <si>
    <t>Shopee</t>
  </si>
  <si>
    <t>Wheyl Krea 60 servings</t>
  </si>
  <si>
    <t xml:space="preserve">Promatrix 5lbs </t>
  </si>
  <si>
    <t>Prothin Pre-Game 30 Sachets</t>
  </si>
  <si>
    <t>Pre Workout/Energy</t>
  </si>
  <si>
    <t xml:space="preserve">Promatrix 2lbs </t>
  </si>
  <si>
    <t>Display</t>
  </si>
  <si>
    <t xml:space="preserve">ON Whey 5lbs </t>
  </si>
  <si>
    <t>ON Crea 300g</t>
  </si>
  <si>
    <t>On Crea 300g Flavored</t>
  </si>
  <si>
    <t>ON Crea 600g</t>
  </si>
  <si>
    <t xml:space="preserve">ON Whey 2lbs </t>
  </si>
  <si>
    <t xml:space="preserve">Mutant Mass 12lbs </t>
  </si>
  <si>
    <t xml:space="preserve">Mutant Mass 6lbs </t>
  </si>
  <si>
    <t xml:space="preserve">Promatrix Mass 11lbs </t>
  </si>
  <si>
    <t xml:space="preserve">Promatrix Mass 6lbs </t>
  </si>
  <si>
    <t>Prothin Creatine 60s</t>
  </si>
  <si>
    <t>Creatine/Strength Endurance</t>
  </si>
  <si>
    <t>Prothin Isolate 10s</t>
  </si>
  <si>
    <t>Whey Protein/Lean Muscle</t>
  </si>
  <si>
    <t xml:space="preserve">Prothin Isolate 60s </t>
  </si>
  <si>
    <t xml:space="preserve">Prothin Mass Gainer 27s </t>
  </si>
  <si>
    <t>Mass Gainer/Weight Gain</t>
  </si>
  <si>
    <t>Prothin Mass Gainer 54s</t>
  </si>
  <si>
    <t>Prothin Whey Ripped 10s (Choco)</t>
  </si>
  <si>
    <t>Prothin Whey Ripped 151s (Choco)</t>
  </si>
  <si>
    <t>Prothin Whey Ripped 60s (Choco)</t>
  </si>
  <si>
    <t>Prothin Multivitamins 30 Gummies</t>
  </si>
  <si>
    <t xml:space="preserve">Core Champs </t>
  </si>
  <si>
    <t>Core Champs Creatine Monohydrate Powder 300g</t>
  </si>
  <si>
    <t>-</t>
  </si>
  <si>
    <t>Core Champs EAA (Essential Amino Acid) 30 Servings</t>
  </si>
  <si>
    <t>Recovery</t>
  </si>
  <si>
    <t>Core Champs Heavyweight Gainer High Density 7lbs</t>
  </si>
  <si>
    <t>Core Champs High Calorie Mass Gainer 15lbs</t>
  </si>
  <si>
    <t>Core Champs Pro Matrix Ultra Premium Protein 5lbs</t>
  </si>
  <si>
    <t>Core Champs RDX Pre Workout 30 Servings</t>
  </si>
  <si>
    <t>CORE CHAMPS RDX Xtreme Intense Energy Pre-Workout</t>
  </si>
  <si>
    <t>Core Champs Whey Isolate 100% 4.4lbs</t>
  </si>
  <si>
    <t>Core Champs Whey Protein 5lbs</t>
  </si>
  <si>
    <t>Core Champs BCAA 3000mg 200 tabs</t>
  </si>
  <si>
    <t>Core Champs BCAA Powder 7000mg 30 servings</t>
  </si>
  <si>
    <t>Core Champs Beta Alanine 100 servings</t>
  </si>
  <si>
    <t>Core Champs Liver Support 60 capsule</t>
  </si>
  <si>
    <t>Liver Support</t>
  </si>
  <si>
    <t>Core Champs Citrulline 2000mg 150 Servings</t>
  </si>
  <si>
    <t>Energy</t>
  </si>
  <si>
    <t>Core Champs Yohimbine HCL 120 capsule</t>
  </si>
  <si>
    <t>Weight loss</t>
  </si>
  <si>
    <t>MUSCLETECH</t>
  </si>
  <si>
    <t>Muscletech Amino Build Next Gen 263g 40 Serv.</t>
  </si>
  <si>
    <t>Muscletech Celltech 3lbs</t>
  </si>
  <si>
    <t>Muscletech Alpha Test 120 Caps.</t>
  </si>
  <si>
    <t>Testosterone</t>
  </si>
  <si>
    <t>Muscletech Celltech 6lbs</t>
  </si>
  <si>
    <t>Muscletech Creactor 120 Servings</t>
  </si>
  <si>
    <t>Muscletech Hydroxycut Elite 100 Caps.</t>
  </si>
  <si>
    <t>Muscletech Hydroxycut Super Elite 120 Caps</t>
  </si>
  <si>
    <t>Muscletech Nitrotech 2lbs</t>
  </si>
  <si>
    <t>Muscletech Nitrotech 4lbs</t>
  </si>
  <si>
    <t>MENU</t>
  </si>
  <si>
    <t>PRICE</t>
  </si>
  <si>
    <t>Muscletech Nitrotech Gold 2.5lbs</t>
  </si>
  <si>
    <t>BARBECUE</t>
  </si>
  <si>
    <t>P20</t>
  </si>
  <si>
    <t>Muscletech Nitrotech Gold 5lbs</t>
  </si>
  <si>
    <t>TENGA NG BABOY</t>
  </si>
  <si>
    <t>P17</t>
  </si>
  <si>
    <t>Muscletech Nitrotech Ripped 2lbs</t>
  </si>
  <si>
    <t>PAA NG MANOK</t>
  </si>
  <si>
    <t>P10</t>
  </si>
  <si>
    <t>Muscletech Nitrotech Ripped 4lbs</t>
  </si>
  <si>
    <t>ISAW NG MANOK</t>
  </si>
  <si>
    <t>P8</t>
  </si>
  <si>
    <t>Muscletech Platinum Creatine .89lbs</t>
  </si>
  <si>
    <t>HOTDOG</t>
  </si>
  <si>
    <t>Muscletech Vapor X5</t>
  </si>
  <si>
    <t>Muscletech Creatine Chews 90tabs</t>
  </si>
  <si>
    <t>Muscletech Euphoriq 20serv</t>
  </si>
  <si>
    <t>OPTIMUM NUTRITION</t>
  </si>
  <si>
    <t>ON Amino 2222 160 Tabs.</t>
  </si>
  <si>
    <t>Recovery/Supports Musclebuilding</t>
  </si>
  <si>
    <t>ON Amino 2222 320 Tabs.</t>
  </si>
  <si>
    <t>ON Creatine 2500 100 Caps.</t>
  </si>
  <si>
    <t>ON Creatine 2500 200 Caps.</t>
  </si>
  <si>
    <t>ON Creatine 2500 300 Caps</t>
  </si>
  <si>
    <t>ON Creatine Powder 300g</t>
  </si>
  <si>
    <t>ON Creatine Powder 600g</t>
  </si>
  <si>
    <t>ON Essential Amino Energy 30 Servings + Electrolytes</t>
  </si>
  <si>
    <t>ON Gold Standard BCAA Boost</t>
  </si>
  <si>
    <t>ON Gold Standard Pre Workout</t>
  </si>
  <si>
    <t>ON Gold Standard Whey 2lbs</t>
  </si>
  <si>
    <t>ON Gold Standard Whey 5lbs</t>
  </si>
  <si>
    <t>ON Platinum Hydro Whey 1.8bs</t>
  </si>
  <si>
    <t>ON Platinum Hydro Whey 3.5lbs</t>
  </si>
  <si>
    <t>ON Serious Mass 12lbs</t>
  </si>
  <si>
    <t>ON Serious Mass 6lbs</t>
  </si>
  <si>
    <t>MUTANT</t>
  </si>
  <si>
    <t>Mutant Creakong 75 serv</t>
  </si>
  <si>
    <t>Mutant Madness 30 servings</t>
  </si>
  <si>
    <t>Mutant mass 2lbs XTREME</t>
  </si>
  <si>
    <t>Mutant mass extreme 12lbs</t>
  </si>
  <si>
    <t>Mutant Mass 15lbs</t>
  </si>
  <si>
    <t>Mutant Mass 20lbs extreme 2500</t>
  </si>
  <si>
    <t>Mutant Mass 5lbs</t>
  </si>
  <si>
    <t>Mutant Whey 5lbs</t>
  </si>
  <si>
    <t>Mutant Creatine BYTZ</t>
  </si>
  <si>
    <t>Mutant Whey DUAL 4lbs</t>
  </si>
  <si>
    <t>Mutant Caffeine 240tabs</t>
  </si>
  <si>
    <t>Mutant Pro All New 5lbs</t>
  </si>
  <si>
    <t>PROMATRIX</t>
  </si>
  <si>
    <t>Promatrix 5lbs</t>
  </si>
  <si>
    <t>RULE 1</t>
  </si>
  <si>
    <t>Rule 1 BCAA 30 Servings</t>
  </si>
  <si>
    <t>Rule 1 BCAA 60 Servings</t>
  </si>
  <si>
    <t>Rule 1 Blend 10lbs</t>
  </si>
  <si>
    <t>Rule 1 Blend 2lbs</t>
  </si>
  <si>
    <t>Rule 1 Blend 5lbs</t>
  </si>
  <si>
    <t>Rule 1 Charged Creatine 30s</t>
  </si>
  <si>
    <t>Rule 1 Creatine 30 Serv</t>
  </si>
  <si>
    <t>Rule 1 Creatine 75 Serv</t>
  </si>
  <si>
    <t>Rule 1 Creatine 130 Serv</t>
  </si>
  <si>
    <t>Rule 1 Isolate 2lbs</t>
  </si>
  <si>
    <t>Rule 1 Isolate 5lbs</t>
  </si>
  <si>
    <t>Rule 1 Roar 30 Servings</t>
  </si>
  <si>
    <t>Rule 1 Source'7 Protein 2lbs</t>
  </si>
  <si>
    <t>Rule 1 Source'7 Protein 5lbs</t>
  </si>
  <si>
    <t>Rule 1 Clear Whey Isolate 1.5lbs 27serv</t>
  </si>
  <si>
    <t xml:space="preserve">Rule 1 Mass Gainer 6lbs </t>
  </si>
  <si>
    <t xml:space="preserve">Rule 1 Mass Gainer 12lbs </t>
  </si>
  <si>
    <t>BSN</t>
  </si>
  <si>
    <t xml:space="preserve">BSN Syntha 5lbs </t>
  </si>
  <si>
    <t>BSN Xplode 30 Serv</t>
  </si>
  <si>
    <t>SCIVATION</t>
  </si>
  <si>
    <t>Scivation Xtend 30 Servings</t>
  </si>
  <si>
    <t>Scivation Xtend 90 Servings</t>
  </si>
  <si>
    <t>Scivation Xtend Sports BCAA 30serv</t>
  </si>
  <si>
    <t>Scivation Xtend Ripped 30 Servings</t>
  </si>
  <si>
    <t>CELLUCOR</t>
  </si>
  <si>
    <t>Cellucor C4 30 Servings</t>
  </si>
  <si>
    <t>Cellucor C4 Ripped 30 Servings</t>
  </si>
  <si>
    <t>C4 50 Servings</t>
  </si>
  <si>
    <t>Cellucor C4 Creatine Cor-Performance 72s</t>
  </si>
  <si>
    <t>Cellucor C4 Sports 30s</t>
  </si>
  <si>
    <t>Cellucor C4 Creatine Cor-Performance 50s</t>
  </si>
  <si>
    <t>INSANE LABZ</t>
  </si>
  <si>
    <t>Insane Labz I am God</t>
  </si>
  <si>
    <t>Insane Labz Psychotic 35 servings</t>
  </si>
  <si>
    <t>Insane Labz Psychotic Hell Boy</t>
  </si>
  <si>
    <t>Insane Labz Psychotic Black</t>
  </si>
  <si>
    <t>NUTREX</t>
  </si>
  <si>
    <t>Nutrex Lipo 6 Ultra Concentrated</t>
  </si>
  <si>
    <t>JNX SPORTS</t>
  </si>
  <si>
    <t>JNX Ripper 30 Serv.</t>
  </si>
  <si>
    <t>JNX The Curse 50 Serv.</t>
  </si>
  <si>
    <t>JNX The Curse Creatine 500g 60 Serv</t>
  </si>
  <si>
    <t>REDCON 1</t>
  </si>
  <si>
    <t>Redcon Total War 30 servings</t>
  </si>
  <si>
    <t>SWANSON</t>
  </si>
  <si>
    <t>Swanson Milk Thistle 500mg 100 Caps</t>
  </si>
  <si>
    <t>Swanson Milk Thistle Dandelion Yellow Dock</t>
  </si>
  <si>
    <t>GASPARI NUTRITION</t>
  </si>
  <si>
    <t>Gaspari Amino Max 8000</t>
  </si>
  <si>
    <t>APPARELS</t>
  </si>
  <si>
    <t>Wheysted Shirt</t>
  </si>
  <si>
    <t>Shirt</t>
  </si>
  <si>
    <t>Get Wheysted Athletes Jersey</t>
  </si>
  <si>
    <t>SHAKERS</t>
  </si>
  <si>
    <t xml:space="preserve">Get Wheysted LEttering SHaker </t>
  </si>
  <si>
    <t>Shaker</t>
  </si>
  <si>
    <t xml:space="preserve">Get Wheysted Ultra Clear Shaker </t>
  </si>
  <si>
    <t>Muscletech Shaker</t>
  </si>
  <si>
    <t xml:space="preserve">Mutant 2.6L Shaker </t>
  </si>
  <si>
    <t>Xtend Squeeze Bottle</t>
  </si>
  <si>
    <t>Promatrix Shaker</t>
  </si>
  <si>
    <t>Mutant Tritan Shaker</t>
  </si>
  <si>
    <t xml:space="preserve">WHEYL SUPPLEMENTS </t>
  </si>
  <si>
    <t>Wheyl KREA creatine monohydrate, pouch(30 servings)</t>
  </si>
  <si>
    <t>Wheyl KREA creatine monohydrate, tub (60 servings) unflavor</t>
  </si>
  <si>
    <t>WHEYL KREA creatine monohydrate, tub (60 servings) Flavored</t>
  </si>
  <si>
    <t>FIZZI</t>
  </si>
  <si>
    <t>FIZZI Collagen + Glutathione Strawberry (Tube)</t>
  </si>
  <si>
    <t>Collagen</t>
  </si>
  <si>
    <t>FIZZI Collagen + Glutathione Strawberry (Box)</t>
  </si>
  <si>
    <t>FIZZI SHAKER</t>
  </si>
  <si>
    <t>RABEKO</t>
  </si>
  <si>
    <t>Rabeko Sauce</t>
  </si>
  <si>
    <t>Sauce</t>
  </si>
  <si>
    <t>DYMATIZE</t>
  </si>
  <si>
    <t>Dymatize Iso 100 20 servings  / 1LB</t>
  </si>
  <si>
    <t>EVOGEN</t>
  </si>
  <si>
    <t>EVP Extreme</t>
  </si>
  <si>
    <t>EVP 3D</t>
  </si>
  <si>
    <t>Lipocide IR</t>
  </si>
  <si>
    <t>EVO GREENS</t>
  </si>
  <si>
    <t>Multivitamins</t>
  </si>
  <si>
    <t>Collagen Plus Hydration</t>
  </si>
  <si>
    <t>EVOBOOST T</t>
  </si>
  <si>
    <t>EVOFUSION Whey 4lbs</t>
  </si>
  <si>
    <t>EVOGEN Creatine</t>
  </si>
  <si>
    <t>Carnigen Liquid</t>
  </si>
  <si>
    <t>Carnigen Powder + Caffeine</t>
  </si>
  <si>
    <t>Carnigen Powder</t>
  </si>
  <si>
    <t>CALOBYE</t>
  </si>
  <si>
    <t>CALOBYE BCAA 30S</t>
  </si>
  <si>
    <t>Calobye Power Shake Mix 4.4lbs (Chocolate)</t>
  </si>
  <si>
    <t>Whey Protein</t>
  </si>
  <si>
    <t>PHICNIC</t>
  </si>
  <si>
    <t>TOKIFIT</t>
  </si>
  <si>
    <t>Vegan</t>
  </si>
  <si>
    <t>JYM</t>
  </si>
  <si>
    <t>Pro-Jym Ultra Premium Protein Blend 3.9lbs</t>
  </si>
  <si>
    <t>REPACKED</t>
  </si>
  <si>
    <t>REPACKED Optimum Nutrition Whey GS 1lb.</t>
  </si>
  <si>
    <t>REPACKED Wheyl 1lb</t>
  </si>
  <si>
    <t>REPACKED CC High Calorie Mass 1lb</t>
  </si>
  <si>
    <t>REPACKED Serious Mass 1lb.</t>
  </si>
  <si>
    <t>MUSCLERULZ</t>
  </si>
  <si>
    <t>Musclerulz Multivitamin Daily 100 Tabs.</t>
  </si>
  <si>
    <t>Musclerulz BCAA 30 Servings</t>
  </si>
  <si>
    <t>Musclerulz Beta Alanine 200g</t>
  </si>
  <si>
    <t>Performance/Endurance</t>
  </si>
  <si>
    <t>MUSCLE SPORT</t>
  </si>
  <si>
    <t>Muscle Sport Cardio Burn 30 Servings</t>
  </si>
  <si>
    <t>Muscle Sport Mass Revolution 6lbs</t>
  </si>
  <si>
    <t>BASIC SUPPLEMENTS</t>
  </si>
  <si>
    <t>Basic Pre Workout 30 Servings</t>
  </si>
  <si>
    <t>Basic Burn 45 Servings</t>
  </si>
  <si>
    <t>CON-CRET</t>
  </si>
  <si>
    <t>Con-cret Testosteron Testofen 60 Caps.</t>
  </si>
  <si>
    <t>Testosteron</t>
  </si>
  <si>
    <t>UCAN Hydrate Stick + Amino (Sachet)</t>
  </si>
  <si>
    <t>Hydration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</si>
</sst>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Calibri"/>
      <family val="2"/>
    </font>
    <font>
      <sz val="12"/>
      <color theme="1"/>
      <name val="Arial Narrow"/>
      <family val="2"/>
    </font>
    <font>
      <sz val="12"/>
      <color theme="1"/>
      <name val="Calibri"/>
      <family val="2"/>
    </font>
    <font>
      <sz val="12"/>
      <color theme="1"/>
      <name val="&quot;Arial Narrow&quot;"/>
    </font>
    <font>
      <sz val="12"/>
      <color rgb="FF000000"/>
      <name val="Arial Narrow"/>
      <family val="2"/>
    </font>
    <font>
      <sz val="13"/>
      <color theme="1"/>
      <name val="Calibri"/>
      <family val="2"/>
    </font>
    <font>
      <b/>
      <sz val="12"/>
      <color rgb="FF000000"/>
      <name val="Arial Narrow"/>
      <family val="2"/>
    </font>
    <font>
      <b/>
      <sz val="12"/>
      <color theme="1"/>
      <name val="Calibri"/>
      <family val="2"/>
      <scheme val="minor"/>
    </font>
    <font>
      <sz val="11"/>
      <color rgb="FF000000"/>
      <name val="&quot;Arial Narrow&quot;"/>
    </font>
    <font>
      <sz val="12"/>
      <color rgb="FF000000"/>
      <name val="Calibri"/>
      <family val="2"/>
      <scheme val="minor"/>
    </font>
    <font>
      <b/>
      <sz val="12"/>
      <color rgb="FF000000"/>
      <name val="&quot;Arial Narrow&quot;"/>
    </font>
    <font>
      <sz val="12"/>
      <color rgb="FF000000"/>
      <name val="&quot;Arial Narrow&quot;"/>
    </font>
    <font>
      <b/>
      <sz val="12"/>
      <color theme="1"/>
      <name val="&quot;Arial Narrow&quot;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shrinkToFit="1"/>
    </xf>
    <xf numFmtId="0" fontId="3" fillId="2" borderId="1" xfId="0" applyFont="1" applyFill="1" applyBorder="1"/>
    <xf numFmtId="0" fontId="3" fillId="2" borderId="2" xfId="0" applyFont="1" applyFill="1" applyBorder="1"/>
    <xf numFmtId="49" fontId="4" fillId="0" borderId="1" xfId="0" applyNumberFormat="1" applyFont="1" applyBorder="1" applyAlignment="1">
      <alignment horizontal="left"/>
    </xf>
    <xf numFmtId="0" fontId="5" fillId="0" borderId="1" xfId="0" applyFont="1" applyBorder="1"/>
    <xf numFmtId="0" fontId="5" fillId="0" borderId="3" xfId="0" applyFont="1" applyBorder="1"/>
    <xf numFmtId="0" fontId="5" fillId="3" borderId="1" xfId="0" applyFont="1" applyFill="1" applyBorder="1"/>
    <xf numFmtId="43" fontId="5" fillId="0" borderId="0" xfId="0" applyNumberFormat="1" applyFont="1"/>
    <xf numFmtId="0" fontId="5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2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7" fillId="3" borderId="1" xfId="0" applyFont="1" applyFill="1" applyBorder="1"/>
    <xf numFmtId="0" fontId="5" fillId="5" borderId="2" xfId="0" applyFont="1" applyFill="1" applyBorder="1"/>
    <xf numFmtId="0" fontId="5" fillId="5" borderId="1" xfId="0" applyFont="1" applyFill="1" applyBorder="1"/>
    <xf numFmtId="0" fontId="5" fillId="3" borderId="2" xfId="0" applyFont="1" applyFill="1" applyBorder="1"/>
    <xf numFmtId="0" fontId="4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5" fillId="0" borderId="0" xfId="0" applyFont="1"/>
    <xf numFmtId="0" fontId="5" fillId="2" borderId="3" xfId="0" applyFont="1" applyFill="1" applyBorder="1"/>
    <xf numFmtId="0" fontId="5" fillId="0" borderId="3" xfId="0" applyFont="1" applyBorder="1" applyAlignment="1">
      <alignment horizontal="center"/>
    </xf>
    <xf numFmtId="0" fontId="3" fillId="6" borderId="4" xfId="0" applyFont="1" applyFill="1" applyBorder="1"/>
    <xf numFmtId="0" fontId="3" fillId="6" borderId="5" xfId="0" applyFont="1" applyFill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4" fillId="0" borderId="1" xfId="0" applyFont="1" applyBorder="1" applyAlignment="1">
      <alignment horizontal="left"/>
    </xf>
    <xf numFmtId="0" fontId="5" fillId="7" borderId="1" xfId="0" applyFont="1" applyFill="1" applyBorder="1"/>
    <xf numFmtId="0" fontId="2" fillId="2" borderId="1" xfId="0" applyFont="1" applyFill="1" applyBorder="1"/>
    <xf numFmtId="0" fontId="5" fillId="4" borderId="2" xfId="0" applyFont="1" applyFill="1" applyBorder="1"/>
    <xf numFmtId="0" fontId="5" fillId="0" borderId="2" xfId="0" applyFont="1" applyBorder="1"/>
    <xf numFmtId="0" fontId="4" fillId="0" borderId="1" xfId="0" applyFont="1" applyBorder="1"/>
    <xf numFmtId="0" fontId="4" fillId="5" borderId="1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center"/>
    </xf>
    <xf numFmtId="0" fontId="8" fillId="5" borderId="1" xfId="0" applyFont="1" applyFill="1" applyBorder="1"/>
    <xf numFmtId="0" fontId="8" fillId="5" borderId="3" xfId="0" applyFont="1" applyFill="1" applyBorder="1"/>
    <xf numFmtId="0" fontId="8" fillId="5" borderId="2" xfId="0" applyFont="1" applyFill="1" applyBorder="1"/>
    <xf numFmtId="0" fontId="5" fillId="5" borderId="2" xfId="0" applyFont="1" applyFill="1" applyBorder="1" applyAlignment="1">
      <alignment horizontal="center"/>
    </xf>
    <xf numFmtId="0" fontId="4" fillId="5" borderId="1" xfId="0" applyFont="1" applyFill="1" applyBorder="1"/>
    <xf numFmtId="0" fontId="5" fillId="4" borderId="3" xfId="0" applyFont="1" applyFill="1" applyBorder="1"/>
    <xf numFmtId="49" fontId="4" fillId="3" borderId="1" xfId="0" applyNumberFormat="1" applyFont="1" applyFill="1" applyBorder="1" applyAlignment="1">
      <alignment horizontal="left"/>
    </xf>
    <xf numFmtId="0" fontId="6" fillId="4" borderId="1" xfId="0" applyFont="1" applyFill="1" applyBorder="1"/>
    <xf numFmtId="49" fontId="2" fillId="2" borderId="1" xfId="0" applyNumberFormat="1" applyFont="1" applyFill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49" fontId="2" fillId="2" borderId="1" xfId="0" applyNumberFormat="1" applyFont="1" applyFill="1" applyBorder="1"/>
    <xf numFmtId="49" fontId="4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 readingOrder="1"/>
    </xf>
    <xf numFmtId="0" fontId="7" fillId="0" borderId="1" xfId="0" applyFont="1" applyBorder="1" applyAlignment="1">
      <alignment horizontal="left" readingOrder="1"/>
    </xf>
    <xf numFmtId="0" fontId="10" fillId="2" borderId="1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1" fillId="0" borderId="1" xfId="0" applyFont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4" fontId="12" fillId="0" borderId="1" xfId="0" applyNumberFormat="1" applyFont="1" applyBorder="1"/>
    <xf numFmtId="0" fontId="13" fillId="2" borderId="1" xfId="0" applyFont="1" applyFill="1" applyBorder="1" applyAlignment="1">
      <alignment horizontal="left"/>
    </xf>
    <xf numFmtId="0" fontId="12" fillId="2" borderId="1" xfId="0" applyFont="1" applyFill="1" applyBorder="1"/>
    <xf numFmtId="4" fontId="12" fillId="2" borderId="1" xfId="0" applyNumberFormat="1" applyFont="1" applyFill="1" applyBorder="1"/>
    <xf numFmtId="0" fontId="14" fillId="4" borderId="1" xfId="0" applyFont="1" applyFill="1" applyBorder="1" applyAlignment="1">
      <alignment horizontal="left"/>
    </xf>
    <xf numFmtId="0" fontId="6" fillId="4" borderId="0" xfId="0" applyFont="1" applyFill="1"/>
    <xf numFmtId="0" fontId="10" fillId="2" borderId="0" xfId="0" applyFont="1" applyFill="1"/>
    <xf numFmtId="0" fontId="14" fillId="4" borderId="1" xfId="0" applyFont="1" applyFill="1" applyBorder="1"/>
    <xf numFmtId="0" fontId="15" fillId="2" borderId="1" xfId="0" applyFont="1" applyFill="1" applyBorder="1" applyAlignment="1">
      <alignment horizontal="left"/>
    </xf>
    <xf numFmtId="0" fontId="6" fillId="4" borderId="12" xfId="0" applyFont="1" applyFill="1" applyBorder="1" applyAlignment="1">
      <alignment horizontal="left"/>
    </xf>
    <xf numFmtId="0" fontId="1" fillId="2" borderId="0" xfId="0" applyFont="1" applyFill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yd Arraz" id="{25D26E3B-B5F5-4156-86C2-EAFDD6CC94FA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0" dT="2026-09-11T02:38:08.00" personId="{25D26E3B-B5F5-4156-86C2-EAFDD6CC94FA}" id="{15579B04-CB07-4F26-9945-058B97A6BC4C}">
    <text>3750 before</text>
  </threadedComment>
  <threadedComment ref="G50" dT="2026-09-11T02:39:07.00" personId="{25D26E3B-B5F5-4156-86C2-EAFDD6CC94FA}" id="{09A8ED43-58EB-4117-9B7E-6FC2F02D5BE2}">
    <text>3600 before</text>
  </threadedComment>
  <threadedComment ref="F58" dT="2026-09-11T02:32:12.00" personId="{25D26E3B-B5F5-4156-86C2-EAFDD6CC94FA}" id="{08C1410D-0CFE-4032-AFA2-5316AC23766A}">
    <text>7050 before</text>
  </threadedComment>
  <threadedComment ref="G58" dT="2026-09-11T02:34:14.00" personId="{25D26E3B-B5F5-4156-86C2-EAFDD6CC94FA}" id="{B007AF89-102B-47DC-BFA5-9A0A54B8EB97}">
    <text>6340 before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2"/>
  <sheetViews>
    <sheetView tabSelected="1" workbookViewId="0">
      <pane ySplit="1" topLeftCell="A2" activePane="bottomLeft" state="frozen"/>
      <selection pane="bottomLeft" activeCell="K193" sqref="K193"/>
    </sheetView>
  </sheetViews>
  <sheetFormatPr baseColWidth="10" defaultColWidth="11.1640625" defaultRowHeight="15" customHeight="1"/>
  <cols>
    <col min="1" max="1" width="48" customWidth="1"/>
    <col min="2" max="2" width="29.6640625" customWidth="1"/>
    <col min="3" max="3" width="11.1640625" customWidth="1"/>
    <col min="4" max="4" width="10.5" customWidth="1"/>
    <col min="5" max="10" width="11.1640625" customWidth="1"/>
    <col min="11" max="11" width="24.33203125" customWidth="1"/>
    <col min="12" max="18" width="11.1640625" customWidth="1"/>
  </cols>
  <sheetData>
    <row r="1" spans="1:8" ht="15.75" customHeight="1">
      <c r="A1" s="2" t="s">
        <v>1</v>
      </c>
      <c r="B1" s="3" t="s">
        <v>6</v>
      </c>
      <c r="C1" s="4" t="s">
        <v>7</v>
      </c>
      <c r="D1" s="3"/>
      <c r="E1" s="3" t="s">
        <v>8</v>
      </c>
      <c r="F1" s="3" t="s">
        <v>9</v>
      </c>
      <c r="G1" s="3" t="s">
        <v>10</v>
      </c>
    </row>
    <row r="2" spans="1:8" ht="15.75" customHeight="1">
      <c r="A2" s="5" t="s">
        <v>13</v>
      </c>
      <c r="B2" s="6" t="s">
        <v>14</v>
      </c>
      <c r="C2" s="7" t="s">
        <v>16</v>
      </c>
      <c r="D2" s="6"/>
      <c r="E2" s="6">
        <v>899</v>
      </c>
      <c r="F2" s="7">
        <v>899</v>
      </c>
      <c r="G2" s="8">
        <v>899</v>
      </c>
      <c r="H2" s="9"/>
    </row>
    <row r="3" spans="1:8" ht="15.75" customHeight="1">
      <c r="A3" s="5" t="s">
        <v>26</v>
      </c>
      <c r="B3" s="6" t="s">
        <v>27</v>
      </c>
      <c r="C3" s="7" t="s">
        <v>16</v>
      </c>
      <c r="D3" s="6"/>
      <c r="E3" s="6">
        <v>850</v>
      </c>
      <c r="F3" s="7">
        <v>850</v>
      </c>
      <c r="G3" s="8">
        <v>850</v>
      </c>
      <c r="H3" s="9"/>
    </row>
    <row r="4" spans="1:8" ht="15.75" customHeight="1">
      <c r="A4" s="5" t="s">
        <v>28</v>
      </c>
      <c r="B4" s="6" t="s">
        <v>29</v>
      </c>
      <c r="C4" s="7" t="s">
        <v>16</v>
      </c>
      <c r="D4" s="8"/>
      <c r="E4" s="8">
        <v>600</v>
      </c>
      <c r="F4" s="7">
        <v>600</v>
      </c>
      <c r="G4" s="8">
        <v>600</v>
      </c>
      <c r="H4" s="9"/>
    </row>
    <row r="5" spans="1:8" ht="15.75" customHeight="1">
      <c r="A5" s="5" t="s">
        <v>30</v>
      </c>
      <c r="B5" s="6" t="s">
        <v>29</v>
      </c>
      <c r="C5" s="7" t="s">
        <v>16</v>
      </c>
      <c r="D5" s="6"/>
      <c r="E5" s="6">
        <v>3000</v>
      </c>
      <c r="F5" s="7">
        <v>3000</v>
      </c>
      <c r="G5" s="8">
        <v>3000</v>
      </c>
      <c r="H5" s="9"/>
    </row>
    <row r="6" spans="1:8" ht="15.75" customHeight="1">
      <c r="A6" s="5" t="s">
        <v>31</v>
      </c>
      <c r="B6" s="6" t="s">
        <v>32</v>
      </c>
      <c r="C6" s="7" t="s">
        <v>16</v>
      </c>
      <c r="D6" s="6"/>
      <c r="E6" s="6">
        <v>1950</v>
      </c>
      <c r="F6" s="7">
        <v>1950</v>
      </c>
      <c r="G6" s="8">
        <v>1950</v>
      </c>
      <c r="H6" s="9"/>
    </row>
    <row r="7" spans="1:8" ht="15.75" customHeight="1">
      <c r="A7" s="5" t="s">
        <v>33</v>
      </c>
      <c r="B7" s="6" t="s">
        <v>32</v>
      </c>
      <c r="C7" s="7" t="s">
        <v>16</v>
      </c>
      <c r="D7" s="6"/>
      <c r="E7" s="6">
        <v>3750</v>
      </c>
      <c r="F7" s="7">
        <v>3750</v>
      </c>
      <c r="G7" s="8">
        <v>3750</v>
      </c>
      <c r="H7" s="9"/>
    </row>
    <row r="8" spans="1:8" ht="15.75" customHeight="1">
      <c r="A8" s="5" t="s">
        <v>34</v>
      </c>
      <c r="B8" s="6" t="s">
        <v>29</v>
      </c>
      <c r="C8" s="7" t="s">
        <v>16</v>
      </c>
      <c r="D8" s="6"/>
      <c r="E8" s="6">
        <v>350</v>
      </c>
      <c r="F8" s="7">
        <v>350</v>
      </c>
      <c r="G8" s="8">
        <v>350</v>
      </c>
      <c r="H8" s="9"/>
    </row>
    <row r="9" spans="1:8" ht="15.75" customHeight="1">
      <c r="A9" s="5" t="s">
        <v>35</v>
      </c>
      <c r="B9" s="6" t="s">
        <v>29</v>
      </c>
      <c r="C9" s="7" t="s">
        <v>16</v>
      </c>
      <c r="D9" s="6"/>
      <c r="E9" s="6">
        <v>4500</v>
      </c>
      <c r="F9" s="7">
        <v>4500</v>
      </c>
      <c r="G9" s="8">
        <v>4500</v>
      </c>
      <c r="H9" s="9"/>
    </row>
    <row r="10" spans="1:8" ht="15.75" customHeight="1">
      <c r="A10" s="5" t="s">
        <v>36</v>
      </c>
      <c r="B10" s="6" t="s">
        <v>29</v>
      </c>
      <c r="C10" s="7" t="s">
        <v>16</v>
      </c>
      <c r="D10" s="10"/>
      <c r="E10" s="6">
        <v>1950</v>
      </c>
      <c r="F10" s="7">
        <v>1950</v>
      </c>
      <c r="G10" s="8">
        <v>1950</v>
      </c>
      <c r="H10" s="9"/>
    </row>
    <row r="11" spans="1:8" ht="15.75" customHeight="1">
      <c r="A11" s="11" t="s">
        <v>37</v>
      </c>
      <c r="B11" s="6" t="s">
        <v>14</v>
      </c>
      <c r="C11" s="7"/>
      <c r="D11" s="6"/>
      <c r="E11" s="6">
        <v>280</v>
      </c>
      <c r="F11" s="7">
        <v>350</v>
      </c>
      <c r="G11" s="7">
        <v>350</v>
      </c>
      <c r="H11" s="9"/>
    </row>
    <row r="12" spans="1:8" ht="15.75" customHeight="1">
      <c r="A12" s="2" t="s">
        <v>38</v>
      </c>
      <c r="B12" s="12"/>
      <c r="C12" s="13"/>
      <c r="D12" s="12"/>
      <c r="E12" s="12"/>
      <c r="F12" s="13"/>
      <c r="G12" s="13"/>
      <c r="H12" s="9"/>
    </row>
    <row r="13" spans="1:8" ht="15.75" customHeight="1">
      <c r="A13" s="14" t="s">
        <v>39</v>
      </c>
      <c r="B13" s="8" t="s">
        <v>27</v>
      </c>
      <c r="C13" s="15" t="s">
        <v>40</v>
      </c>
      <c r="D13" s="8"/>
      <c r="E13" s="8">
        <v>1500</v>
      </c>
      <c r="F13" s="12">
        <v>1500</v>
      </c>
      <c r="G13" s="12">
        <v>1500</v>
      </c>
      <c r="H13" s="9"/>
    </row>
    <row r="14" spans="1:8" ht="15.75" customHeight="1">
      <c r="A14" s="16" t="s">
        <v>41</v>
      </c>
      <c r="B14" s="8" t="s">
        <v>42</v>
      </c>
      <c r="C14" s="15" t="s">
        <v>40</v>
      </c>
      <c r="D14" s="8"/>
      <c r="E14" s="8">
        <v>1700</v>
      </c>
      <c r="F14" s="8">
        <v>1700</v>
      </c>
      <c r="G14" s="8">
        <v>1700</v>
      </c>
      <c r="H14" s="9"/>
    </row>
    <row r="15" spans="1:8" ht="15.75" customHeight="1">
      <c r="A15" s="14" t="s">
        <v>43</v>
      </c>
      <c r="B15" s="8" t="s">
        <v>32</v>
      </c>
      <c r="C15" s="15" t="s">
        <v>40</v>
      </c>
      <c r="D15" s="8"/>
      <c r="E15" s="10">
        <v>2400</v>
      </c>
      <c r="F15" s="17">
        <v>2400</v>
      </c>
      <c r="G15" s="18">
        <v>2400</v>
      </c>
      <c r="H15" s="9"/>
    </row>
    <row r="16" spans="1:8" ht="15.75" customHeight="1">
      <c r="A16" s="14" t="s">
        <v>44</v>
      </c>
      <c r="B16" s="8" t="s">
        <v>32</v>
      </c>
      <c r="C16" s="15" t="s">
        <v>40</v>
      </c>
      <c r="D16" s="8"/>
      <c r="E16" s="10">
        <v>3350</v>
      </c>
      <c r="F16" s="19">
        <v>3550</v>
      </c>
      <c r="G16" s="8">
        <v>3350</v>
      </c>
      <c r="H16" s="9"/>
    </row>
    <row r="17" spans="1:8" ht="15.75" customHeight="1">
      <c r="A17" s="14" t="s">
        <v>45</v>
      </c>
      <c r="B17" s="8" t="s">
        <v>29</v>
      </c>
      <c r="C17" s="19" t="s">
        <v>16</v>
      </c>
      <c r="D17" s="8"/>
      <c r="E17" s="10">
        <v>3400</v>
      </c>
      <c r="F17" s="19">
        <v>3400</v>
      </c>
      <c r="G17" s="8">
        <v>3000</v>
      </c>
      <c r="H17" s="9"/>
    </row>
    <row r="18" spans="1:8" ht="15.75" customHeight="1">
      <c r="A18" s="14" t="s">
        <v>46</v>
      </c>
      <c r="B18" s="8" t="s">
        <v>14</v>
      </c>
      <c r="C18" s="15" t="s">
        <v>40</v>
      </c>
      <c r="D18" s="8"/>
      <c r="E18" s="8">
        <v>1650</v>
      </c>
      <c r="F18" s="19">
        <v>1650</v>
      </c>
      <c r="G18" s="8">
        <v>1450</v>
      </c>
      <c r="H18" s="9"/>
    </row>
    <row r="19" spans="1:8" ht="15.75" customHeight="1">
      <c r="A19" s="20" t="s">
        <v>47</v>
      </c>
      <c r="B19" s="8" t="s">
        <v>14</v>
      </c>
      <c r="C19" s="15" t="s">
        <v>40</v>
      </c>
      <c r="D19" s="8"/>
      <c r="E19" s="8">
        <v>1750</v>
      </c>
      <c r="F19" s="19">
        <v>1750</v>
      </c>
      <c r="G19" s="8">
        <v>1550</v>
      </c>
      <c r="H19" s="9"/>
    </row>
    <row r="20" spans="1:8" ht="15.75" customHeight="1">
      <c r="A20" s="8" t="s">
        <v>48</v>
      </c>
      <c r="B20" s="8" t="s">
        <v>29</v>
      </c>
      <c r="C20" s="15" t="s">
        <v>40</v>
      </c>
      <c r="D20" s="8"/>
      <c r="E20" s="8">
        <v>4900</v>
      </c>
      <c r="F20" s="12">
        <v>4900</v>
      </c>
      <c r="G20" s="12">
        <v>4900</v>
      </c>
      <c r="H20" s="9"/>
    </row>
    <row r="21" spans="1:8" ht="15.75" customHeight="1">
      <c r="A21" s="14" t="s">
        <v>49</v>
      </c>
      <c r="B21" s="8" t="s">
        <v>29</v>
      </c>
      <c r="C21" s="15" t="s">
        <v>40</v>
      </c>
      <c r="D21" s="8"/>
      <c r="E21" s="8">
        <v>3900</v>
      </c>
      <c r="F21" s="13">
        <v>3900</v>
      </c>
      <c r="G21" s="13">
        <v>3900</v>
      </c>
      <c r="H21" s="9"/>
    </row>
    <row r="22" spans="1:8" ht="15.75" customHeight="1">
      <c r="A22" s="14" t="s">
        <v>50</v>
      </c>
      <c r="B22" s="8" t="s">
        <v>42</v>
      </c>
      <c r="C22" s="15" t="s">
        <v>40</v>
      </c>
      <c r="D22" s="8"/>
      <c r="E22" s="8">
        <v>1450</v>
      </c>
      <c r="F22" s="8">
        <v>1450</v>
      </c>
      <c r="G22" s="8">
        <v>1450</v>
      </c>
      <c r="H22" s="9"/>
    </row>
    <row r="23" spans="1:8" ht="15.75" customHeight="1">
      <c r="A23" s="14" t="s">
        <v>51</v>
      </c>
      <c r="B23" s="8" t="s">
        <v>42</v>
      </c>
      <c r="C23" s="15" t="s">
        <v>40</v>
      </c>
      <c r="D23" s="8"/>
      <c r="E23" s="8">
        <v>1450</v>
      </c>
      <c r="F23" s="8">
        <v>1450</v>
      </c>
      <c r="G23" s="8">
        <v>1450</v>
      </c>
      <c r="H23" s="9"/>
    </row>
    <row r="24" spans="1:8" ht="15.75" customHeight="1">
      <c r="A24" s="14" t="s">
        <v>52</v>
      </c>
      <c r="B24" s="8" t="s">
        <v>14</v>
      </c>
      <c r="C24" s="21" t="s">
        <v>40</v>
      </c>
      <c r="D24" s="8"/>
      <c r="E24" s="8">
        <v>1400</v>
      </c>
      <c r="F24" s="8">
        <v>1400</v>
      </c>
      <c r="G24" s="8">
        <v>1400</v>
      </c>
      <c r="H24" s="9"/>
    </row>
    <row r="25" spans="1:8" ht="15.75" customHeight="1">
      <c r="A25" s="16" t="s">
        <v>53</v>
      </c>
      <c r="B25" s="8" t="s">
        <v>54</v>
      </c>
      <c r="C25" s="21" t="s">
        <v>40</v>
      </c>
      <c r="D25" s="8"/>
      <c r="E25" s="8">
        <v>1200</v>
      </c>
      <c r="F25" s="8">
        <v>1200</v>
      </c>
      <c r="G25" s="8">
        <v>1200</v>
      </c>
      <c r="H25" s="9"/>
    </row>
    <row r="26" spans="1:8" ht="15.75" customHeight="1">
      <c r="A26" s="11" t="s">
        <v>55</v>
      </c>
      <c r="B26" s="22" t="s">
        <v>56</v>
      </c>
      <c r="C26" s="22"/>
      <c r="D26" s="22"/>
      <c r="E26" s="22">
        <v>900</v>
      </c>
      <c r="F26" s="22">
        <v>1100</v>
      </c>
      <c r="G26" s="22">
        <v>1000</v>
      </c>
    </row>
    <row r="27" spans="1:8" ht="15.75" customHeight="1">
      <c r="A27" s="11" t="s">
        <v>57</v>
      </c>
      <c r="B27" s="24" t="s">
        <v>58</v>
      </c>
      <c r="C27" s="7"/>
      <c r="D27" s="6"/>
      <c r="E27" s="6">
        <v>1400</v>
      </c>
      <c r="F27" s="7">
        <v>1230</v>
      </c>
      <c r="G27" s="7">
        <v>1230</v>
      </c>
      <c r="H27" s="9"/>
    </row>
    <row r="28" spans="1:8" ht="15.75" customHeight="1">
      <c r="A28" s="2" t="s">
        <v>59</v>
      </c>
      <c r="B28" s="12"/>
      <c r="C28" s="13"/>
      <c r="D28" s="12"/>
      <c r="E28" s="12"/>
      <c r="F28" s="13"/>
      <c r="G28" s="25"/>
      <c r="H28" s="9"/>
    </row>
    <row r="29" spans="1:8" ht="15.75" customHeight="1">
      <c r="A29" s="5" t="s">
        <v>60</v>
      </c>
      <c r="B29" s="6" t="s">
        <v>42</v>
      </c>
      <c r="C29" s="26" t="s">
        <v>40</v>
      </c>
      <c r="D29" s="6"/>
      <c r="E29" s="6">
        <v>1500</v>
      </c>
      <c r="F29" s="7">
        <v>1780</v>
      </c>
      <c r="G29" s="8">
        <v>1650</v>
      </c>
      <c r="H29" s="9"/>
    </row>
    <row r="30" spans="1:8" ht="15.75" customHeight="1">
      <c r="A30" s="5" t="s">
        <v>61</v>
      </c>
      <c r="B30" s="6" t="s">
        <v>27</v>
      </c>
      <c r="C30" s="26" t="s">
        <v>40</v>
      </c>
      <c r="D30" s="6"/>
      <c r="E30" s="6">
        <v>1650</v>
      </c>
      <c r="F30" s="7">
        <v>2100</v>
      </c>
      <c r="G30" s="8">
        <v>1930</v>
      </c>
      <c r="H30" s="9"/>
    </row>
    <row r="31" spans="1:8" ht="15.75" customHeight="1">
      <c r="A31" s="5" t="s">
        <v>62</v>
      </c>
      <c r="B31" s="6" t="s">
        <v>63</v>
      </c>
      <c r="C31" s="26" t="s">
        <v>40</v>
      </c>
      <c r="D31" s="6"/>
      <c r="E31" s="6">
        <v>1650</v>
      </c>
      <c r="F31" s="7">
        <v>2100</v>
      </c>
      <c r="G31" s="8">
        <v>1930</v>
      </c>
      <c r="H31" s="9"/>
    </row>
    <row r="32" spans="1:8" ht="15.75" customHeight="1">
      <c r="A32" s="5" t="s">
        <v>64</v>
      </c>
      <c r="B32" s="6" t="s">
        <v>27</v>
      </c>
      <c r="C32" s="26" t="s">
        <v>40</v>
      </c>
      <c r="D32" s="6"/>
      <c r="E32" s="6">
        <v>2400</v>
      </c>
      <c r="F32" s="7">
        <v>3100</v>
      </c>
      <c r="G32" s="8">
        <v>2850</v>
      </c>
      <c r="H32" s="9"/>
    </row>
    <row r="33" spans="1:12" ht="15.75" customHeight="1">
      <c r="A33" s="6" t="s">
        <v>65</v>
      </c>
      <c r="B33" s="6" t="s">
        <v>27</v>
      </c>
      <c r="C33" s="26" t="s">
        <v>40</v>
      </c>
      <c r="D33" s="6"/>
      <c r="E33" s="6">
        <v>1450</v>
      </c>
      <c r="F33" s="7">
        <v>1700</v>
      </c>
      <c r="G33" s="8">
        <v>1580</v>
      </c>
      <c r="H33" s="9"/>
    </row>
    <row r="34" spans="1:12" ht="15.75" customHeight="1">
      <c r="A34" s="5" t="s">
        <v>66</v>
      </c>
      <c r="B34" s="6" t="s">
        <v>58</v>
      </c>
      <c r="C34" s="7" t="s">
        <v>16</v>
      </c>
      <c r="D34" s="6"/>
      <c r="E34" s="6">
        <v>1500</v>
      </c>
      <c r="F34" s="7">
        <v>1700</v>
      </c>
      <c r="G34" s="8">
        <v>1570</v>
      </c>
      <c r="H34" s="9"/>
    </row>
    <row r="35" spans="1:12" ht="15.75" customHeight="1">
      <c r="A35" s="5" t="s">
        <v>67</v>
      </c>
      <c r="B35" s="6" t="s">
        <v>58</v>
      </c>
      <c r="C35" s="7" t="s">
        <v>16</v>
      </c>
      <c r="D35" s="6"/>
      <c r="E35" s="6">
        <v>1650</v>
      </c>
      <c r="F35" s="7">
        <v>2000</v>
      </c>
      <c r="G35" s="8">
        <v>1860</v>
      </c>
      <c r="H35" s="9"/>
    </row>
    <row r="36" spans="1:12" ht="15.75" customHeight="1" thickBot="1">
      <c r="A36" s="5" t="s">
        <v>68</v>
      </c>
      <c r="B36" s="6" t="s">
        <v>29</v>
      </c>
      <c r="C36" s="26" t="s">
        <v>40</v>
      </c>
      <c r="D36" s="6"/>
      <c r="E36" s="6">
        <v>2250</v>
      </c>
      <c r="F36" s="7">
        <v>2780</v>
      </c>
      <c r="G36" s="8">
        <v>2580</v>
      </c>
      <c r="H36" s="9"/>
    </row>
    <row r="37" spans="1:12" ht="15.75" customHeight="1" thickBot="1">
      <c r="A37" s="5" t="s">
        <v>69</v>
      </c>
      <c r="B37" s="6" t="s">
        <v>29</v>
      </c>
      <c r="C37" s="7" t="s">
        <v>16</v>
      </c>
      <c r="D37" s="6"/>
      <c r="E37" s="6">
        <v>3900</v>
      </c>
      <c r="F37" s="7">
        <v>4850</v>
      </c>
      <c r="G37" s="8">
        <v>4299</v>
      </c>
      <c r="H37" s="9"/>
      <c r="K37" s="27" t="s">
        <v>70</v>
      </c>
      <c r="L37" s="28" t="s">
        <v>71</v>
      </c>
    </row>
    <row r="38" spans="1:12" ht="15.75" customHeight="1">
      <c r="A38" s="5" t="s">
        <v>72</v>
      </c>
      <c r="B38" s="6" t="s">
        <v>29</v>
      </c>
      <c r="C38" s="26" t="s">
        <v>40</v>
      </c>
      <c r="D38" s="6"/>
      <c r="E38" s="6">
        <v>2350</v>
      </c>
      <c r="F38" s="7">
        <v>2950</v>
      </c>
      <c r="G38" s="8">
        <v>2720</v>
      </c>
      <c r="H38" s="9"/>
      <c r="K38" s="29" t="s">
        <v>73</v>
      </c>
      <c r="L38" s="30" t="s">
        <v>74</v>
      </c>
    </row>
    <row r="39" spans="1:12" ht="15.75" customHeight="1">
      <c r="A39" s="5" t="s">
        <v>75</v>
      </c>
      <c r="B39" s="6" t="s">
        <v>29</v>
      </c>
      <c r="C39" s="26" t="s">
        <v>40</v>
      </c>
      <c r="D39" s="6"/>
      <c r="E39" s="6">
        <v>4300</v>
      </c>
      <c r="F39" s="7">
        <v>5550</v>
      </c>
      <c r="G39" s="8">
        <v>5150</v>
      </c>
      <c r="H39" s="9"/>
      <c r="K39" s="31" t="s">
        <v>76</v>
      </c>
      <c r="L39" s="32" t="s">
        <v>77</v>
      </c>
    </row>
    <row r="40" spans="1:12" ht="15.75" customHeight="1">
      <c r="A40" s="5" t="s">
        <v>78</v>
      </c>
      <c r="B40" s="6" t="s">
        <v>29</v>
      </c>
      <c r="C40" s="26" t="s">
        <v>40</v>
      </c>
      <c r="D40" s="6"/>
      <c r="E40" s="6">
        <v>2150</v>
      </c>
      <c r="F40" s="7">
        <v>2700</v>
      </c>
      <c r="G40" s="8">
        <v>2500</v>
      </c>
      <c r="H40" s="9"/>
      <c r="K40" s="31" t="s">
        <v>79</v>
      </c>
      <c r="L40" s="32" t="s">
        <v>80</v>
      </c>
    </row>
    <row r="41" spans="1:12" ht="15.75" customHeight="1">
      <c r="A41" s="5" t="s">
        <v>81</v>
      </c>
      <c r="B41" s="6" t="s">
        <v>29</v>
      </c>
      <c r="C41" s="7" t="s">
        <v>16</v>
      </c>
      <c r="D41" s="6"/>
      <c r="E41" s="6">
        <v>4100</v>
      </c>
      <c r="F41" s="7">
        <v>5100</v>
      </c>
      <c r="G41" s="8">
        <v>4499</v>
      </c>
      <c r="H41" s="9"/>
      <c r="K41" s="31" t="s">
        <v>82</v>
      </c>
      <c r="L41" s="32" t="s">
        <v>83</v>
      </c>
    </row>
    <row r="42" spans="1:12" ht="15.75" customHeight="1" thickBot="1">
      <c r="A42" s="5" t="s">
        <v>84</v>
      </c>
      <c r="B42" s="6" t="s">
        <v>27</v>
      </c>
      <c r="C42" s="7" t="s">
        <v>16</v>
      </c>
      <c r="D42" s="6"/>
      <c r="E42" s="6">
        <v>1800</v>
      </c>
      <c r="F42" s="7">
        <v>2000</v>
      </c>
      <c r="G42" s="8">
        <v>1860</v>
      </c>
      <c r="H42" s="9"/>
      <c r="K42" s="33" t="s">
        <v>85</v>
      </c>
      <c r="L42" s="34" t="s">
        <v>77</v>
      </c>
    </row>
    <row r="43" spans="1:12" ht="15.75" customHeight="1">
      <c r="A43" s="5" t="s">
        <v>86</v>
      </c>
      <c r="B43" s="6" t="s">
        <v>14</v>
      </c>
      <c r="C43" s="26" t="s">
        <v>40</v>
      </c>
      <c r="D43" s="6"/>
      <c r="E43" s="6">
        <v>1400</v>
      </c>
      <c r="F43" s="7">
        <v>1700</v>
      </c>
      <c r="G43" s="8">
        <v>1580</v>
      </c>
      <c r="H43" s="9"/>
    </row>
    <row r="44" spans="1:12" ht="15.75" customHeight="1">
      <c r="A44" s="5" t="s">
        <v>87</v>
      </c>
      <c r="B44" s="6" t="s">
        <v>27</v>
      </c>
      <c r="C44" s="26" t="s">
        <v>40</v>
      </c>
      <c r="D44" s="6"/>
      <c r="E44" s="6">
        <v>1500</v>
      </c>
      <c r="F44" s="7">
        <v>1850</v>
      </c>
      <c r="G44" s="8">
        <v>1720</v>
      </c>
      <c r="H44" s="9"/>
    </row>
    <row r="45" spans="1:12" ht="15.75" customHeight="1">
      <c r="A45" s="5" t="s">
        <v>88</v>
      </c>
      <c r="B45" s="6" t="s">
        <v>14</v>
      </c>
      <c r="C45" s="26" t="s">
        <v>40</v>
      </c>
      <c r="D45" s="6"/>
      <c r="E45" s="6">
        <v>2150</v>
      </c>
      <c r="F45" s="7">
        <v>2700</v>
      </c>
      <c r="G45" s="8">
        <v>2400</v>
      </c>
      <c r="H45" s="9"/>
    </row>
    <row r="46" spans="1:12" ht="15.75" customHeight="1">
      <c r="A46" s="2" t="s">
        <v>89</v>
      </c>
      <c r="B46" s="12"/>
      <c r="C46" s="13"/>
      <c r="D46" s="12"/>
      <c r="E46" s="12"/>
      <c r="F46" s="13"/>
      <c r="G46" s="13"/>
      <c r="H46" s="9"/>
    </row>
    <row r="47" spans="1:12" ht="15.75" customHeight="1">
      <c r="A47" s="35" t="s">
        <v>90</v>
      </c>
      <c r="B47" s="6" t="s">
        <v>91</v>
      </c>
      <c r="C47" s="7" t="s">
        <v>16</v>
      </c>
      <c r="D47" s="6"/>
      <c r="E47" s="6">
        <v>1500</v>
      </c>
      <c r="F47" s="7">
        <v>1700</v>
      </c>
      <c r="G47" s="8">
        <v>1650</v>
      </c>
      <c r="H47" s="9"/>
    </row>
    <row r="48" spans="1:12" ht="15.75" customHeight="1">
      <c r="A48" s="35" t="s">
        <v>92</v>
      </c>
      <c r="B48" s="6" t="s">
        <v>91</v>
      </c>
      <c r="C48" s="7" t="s">
        <v>16</v>
      </c>
      <c r="D48" s="6"/>
      <c r="E48" s="6">
        <v>2750</v>
      </c>
      <c r="F48" s="7">
        <v>3100</v>
      </c>
      <c r="G48" s="8">
        <v>3100</v>
      </c>
      <c r="H48" s="9"/>
    </row>
    <row r="49" spans="1:8" ht="15.75" customHeight="1">
      <c r="A49" s="35" t="s">
        <v>93</v>
      </c>
      <c r="B49" s="6" t="s">
        <v>27</v>
      </c>
      <c r="C49" s="7" t="s">
        <v>16</v>
      </c>
      <c r="D49" s="6"/>
      <c r="E49" s="6">
        <v>2050</v>
      </c>
      <c r="F49" s="7">
        <v>2100</v>
      </c>
      <c r="G49" s="8">
        <v>2050</v>
      </c>
      <c r="H49" s="9"/>
    </row>
    <row r="50" spans="1:8" ht="15.75" customHeight="1">
      <c r="A50" s="35" t="s">
        <v>94</v>
      </c>
      <c r="B50" s="6" t="s">
        <v>27</v>
      </c>
      <c r="C50" s="26" t="s">
        <v>40</v>
      </c>
      <c r="D50" s="36"/>
      <c r="E50" s="36">
        <v>3200</v>
      </c>
      <c r="F50" s="7">
        <v>4000</v>
      </c>
      <c r="G50" s="6">
        <v>3720</v>
      </c>
      <c r="H50" s="9"/>
    </row>
    <row r="51" spans="1:8" ht="15.75" customHeight="1">
      <c r="A51" s="35" t="s">
        <v>95</v>
      </c>
      <c r="B51" s="6" t="s">
        <v>27</v>
      </c>
      <c r="C51" s="26" t="s">
        <v>40</v>
      </c>
      <c r="D51" s="6"/>
      <c r="E51" s="10">
        <v>4500</v>
      </c>
      <c r="F51" s="7">
        <v>5600</v>
      </c>
      <c r="G51" s="6">
        <v>5200</v>
      </c>
      <c r="H51" s="9"/>
    </row>
    <row r="52" spans="1:8" ht="15.75" customHeight="1">
      <c r="A52" s="35" t="s">
        <v>96</v>
      </c>
      <c r="B52" s="6" t="s">
        <v>27</v>
      </c>
      <c r="C52" s="7" t="s">
        <v>16</v>
      </c>
      <c r="D52" s="6"/>
      <c r="E52" s="10">
        <v>1400</v>
      </c>
      <c r="F52" s="7">
        <v>1630</v>
      </c>
      <c r="G52" s="6">
        <v>1580</v>
      </c>
      <c r="H52" s="9"/>
    </row>
    <row r="53" spans="1:8" ht="15.75" customHeight="1">
      <c r="A53" s="35" t="s">
        <v>97</v>
      </c>
      <c r="B53" s="6" t="s">
        <v>27</v>
      </c>
      <c r="C53" s="26" t="s">
        <v>40</v>
      </c>
      <c r="D53" s="6"/>
      <c r="E53" s="10">
        <v>2500</v>
      </c>
      <c r="F53" s="7">
        <v>2920</v>
      </c>
      <c r="G53" s="6">
        <v>2840</v>
      </c>
      <c r="H53" s="9"/>
    </row>
    <row r="54" spans="1:8" ht="15.75" customHeight="1">
      <c r="A54" s="35" t="s">
        <v>98</v>
      </c>
      <c r="B54" s="6" t="s">
        <v>42</v>
      </c>
      <c r="C54" s="26" t="s">
        <v>40</v>
      </c>
      <c r="D54" s="6"/>
      <c r="E54" s="10">
        <v>1500</v>
      </c>
      <c r="F54" s="7">
        <v>1650</v>
      </c>
      <c r="G54" s="6">
        <v>1630</v>
      </c>
      <c r="H54" s="9"/>
    </row>
    <row r="55" spans="1:8" ht="15.75" customHeight="1">
      <c r="A55" s="35" t="s">
        <v>99</v>
      </c>
      <c r="B55" s="6" t="s">
        <v>42</v>
      </c>
      <c r="C55" s="26" t="s">
        <v>40</v>
      </c>
      <c r="D55" s="6"/>
      <c r="E55" s="10">
        <v>1970</v>
      </c>
      <c r="F55" s="7">
        <v>2220</v>
      </c>
      <c r="G55" s="6">
        <v>2170</v>
      </c>
      <c r="H55" s="9"/>
    </row>
    <row r="56" spans="1:8" ht="15.75" customHeight="1">
      <c r="A56" s="35" t="s">
        <v>100</v>
      </c>
      <c r="B56" s="6" t="s">
        <v>14</v>
      </c>
      <c r="C56" s="26" t="s">
        <v>40</v>
      </c>
      <c r="D56" s="6"/>
      <c r="E56" s="10">
        <v>1880</v>
      </c>
      <c r="F56" s="7">
        <v>2100</v>
      </c>
      <c r="G56" s="6">
        <v>2050</v>
      </c>
      <c r="H56" s="9"/>
    </row>
    <row r="57" spans="1:8" ht="15.75" customHeight="1">
      <c r="A57" s="35" t="s">
        <v>101</v>
      </c>
      <c r="B57" s="6" t="s">
        <v>29</v>
      </c>
      <c r="C57" s="7" t="s">
        <v>16</v>
      </c>
      <c r="D57" s="6"/>
      <c r="E57" s="10">
        <v>2680</v>
      </c>
      <c r="F57" s="7">
        <v>3250</v>
      </c>
      <c r="G57" s="6">
        <v>3050</v>
      </c>
      <c r="H57" s="9"/>
    </row>
    <row r="58" spans="1:8" ht="15.75" customHeight="1">
      <c r="A58" s="35" t="s">
        <v>102</v>
      </c>
      <c r="B58" s="6" t="s">
        <v>29</v>
      </c>
      <c r="C58" s="26" t="s">
        <v>40</v>
      </c>
      <c r="D58" s="36"/>
      <c r="E58" s="36">
        <v>6760</v>
      </c>
      <c r="F58" s="7">
        <v>8730</v>
      </c>
      <c r="G58" s="6">
        <v>8100</v>
      </c>
      <c r="H58" s="9"/>
    </row>
    <row r="59" spans="1:8" ht="15.75" customHeight="1">
      <c r="A59" s="35" t="s">
        <v>103</v>
      </c>
      <c r="B59" s="6" t="s">
        <v>29</v>
      </c>
      <c r="C59" s="26" t="s">
        <v>40</v>
      </c>
      <c r="D59" s="6"/>
      <c r="E59" s="10">
        <v>3550</v>
      </c>
      <c r="F59" s="7">
        <v>4430</v>
      </c>
      <c r="G59" s="8">
        <v>4040</v>
      </c>
      <c r="H59" s="9"/>
    </row>
    <row r="60" spans="1:8" ht="15.75" customHeight="1">
      <c r="A60" s="35" t="s">
        <v>104</v>
      </c>
      <c r="B60" s="6" t="s">
        <v>29</v>
      </c>
      <c r="C60" s="26" t="s">
        <v>40</v>
      </c>
      <c r="D60" s="6"/>
      <c r="E60" s="10">
        <v>6100</v>
      </c>
      <c r="F60" s="7">
        <v>7880</v>
      </c>
      <c r="G60" s="8">
        <v>7099</v>
      </c>
      <c r="H60" s="9"/>
    </row>
    <row r="61" spans="1:8" ht="15.75" customHeight="1">
      <c r="A61" s="35" t="s">
        <v>105</v>
      </c>
      <c r="B61" s="6" t="s">
        <v>32</v>
      </c>
      <c r="C61" s="26" t="s">
        <v>40</v>
      </c>
      <c r="D61" s="6"/>
      <c r="E61" s="6">
        <v>5400</v>
      </c>
      <c r="F61" s="7">
        <v>6530</v>
      </c>
      <c r="G61" s="8">
        <v>6300</v>
      </c>
      <c r="H61" s="9"/>
    </row>
    <row r="62" spans="1:8" ht="15.75" customHeight="1">
      <c r="A62" s="35" t="s">
        <v>106</v>
      </c>
      <c r="B62" s="6" t="s">
        <v>32</v>
      </c>
      <c r="C62" s="7" t="s">
        <v>16</v>
      </c>
      <c r="D62" s="6"/>
      <c r="E62" s="6">
        <v>2980</v>
      </c>
      <c r="F62" s="7">
        <v>3650</v>
      </c>
      <c r="G62" s="8">
        <v>3390</v>
      </c>
      <c r="H62" s="9"/>
    </row>
    <row r="63" spans="1:8" ht="15.75" customHeight="1">
      <c r="A63" s="37" t="s">
        <v>107</v>
      </c>
      <c r="B63" s="12"/>
      <c r="C63" s="13"/>
      <c r="D63" s="12"/>
      <c r="E63" s="12"/>
      <c r="F63" s="13"/>
      <c r="G63" s="13"/>
      <c r="H63" s="9"/>
    </row>
    <row r="64" spans="1:8" ht="15.75" customHeight="1">
      <c r="A64" s="20" t="s">
        <v>108</v>
      </c>
      <c r="B64" s="8" t="s">
        <v>27</v>
      </c>
      <c r="C64" s="19" t="s">
        <v>16</v>
      </c>
      <c r="D64" s="10"/>
      <c r="E64" s="10">
        <v>750</v>
      </c>
      <c r="F64" s="38">
        <v>850</v>
      </c>
      <c r="G64" s="10">
        <v>850</v>
      </c>
      <c r="H64" s="9"/>
    </row>
    <row r="65" spans="1:8" ht="15.75" customHeight="1">
      <c r="A65" s="14" t="s">
        <v>109</v>
      </c>
      <c r="B65" s="8" t="s">
        <v>14</v>
      </c>
      <c r="C65" s="15" t="s">
        <v>40</v>
      </c>
      <c r="D65" s="10"/>
      <c r="E65" s="10">
        <v>950</v>
      </c>
      <c r="F65" s="38">
        <v>1150</v>
      </c>
      <c r="G65" s="10">
        <v>1100</v>
      </c>
      <c r="H65" s="9"/>
    </row>
    <row r="66" spans="1:8" ht="15.75" customHeight="1">
      <c r="A66" s="20" t="s">
        <v>110</v>
      </c>
      <c r="B66" s="8" t="s">
        <v>32</v>
      </c>
      <c r="C66" s="15" t="s">
        <v>40</v>
      </c>
      <c r="D66" s="10"/>
      <c r="E66" s="10">
        <v>850</v>
      </c>
      <c r="F66" s="38">
        <v>1080</v>
      </c>
      <c r="G66" s="10">
        <v>999</v>
      </c>
      <c r="H66" s="9"/>
    </row>
    <row r="67" spans="1:8" ht="15.75" customHeight="1">
      <c r="A67" s="20" t="s">
        <v>111</v>
      </c>
      <c r="B67" s="8" t="s">
        <v>32</v>
      </c>
      <c r="C67" s="15" t="s">
        <v>40</v>
      </c>
      <c r="D67" s="36"/>
      <c r="E67" s="36">
        <v>3850</v>
      </c>
      <c r="F67" s="38">
        <v>4150</v>
      </c>
      <c r="G67" s="10">
        <v>3900</v>
      </c>
      <c r="H67" s="9"/>
    </row>
    <row r="68" spans="1:8" ht="15.75" customHeight="1">
      <c r="A68" s="20" t="s">
        <v>112</v>
      </c>
      <c r="B68" s="8" t="s">
        <v>32</v>
      </c>
      <c r="C68" s="15" t="s">
        <v>40</v>
      </c>
      <c r="D68" s="10"/>
      <c r="E68" s="10">
        <v>4750</v>
      </c>
      <c r="F68" s="38">
        <v>5800</v>
      </c>
      <c r="G68" s="10">
        <v>5400</v>
      </c>
      <c r="H68" s="9"/>
    </row>
    <row r="69" spans="1:8" ht="15.75" customHeight="1">
      <c r="A69" s="20" t="s">
        <v>113</v>
      </c>
      <c r="B69" s="8" t="s">
        <v>32</v>
      </c>
      <c r="C69" s="15" t="s">
        <v>40</v>
      </c>
      <c r="D69" s="10"/>
      <c r="E69" s="10">
        <v>4800</v>
      </c>
      <c r="F69" s="38">
        <v>5620</v>
      </c>
      <c r="G69" s="10">
        <v>5230</v>
      </c>
      <c r="H69" s="9"/>
    </row>
    <row r="70" spans="1:8" ht="15.75" customHeight="1">
      <c r="A70" s="20" t="s">
        <v>114</v>
      </c>
      <c r="B70" s="8" t="s">
        <v>32</v>
      </c>
      <c r="C70" s="19" t="s">
        <v>16</v>
      </c>
      <c r="D70" s="10"/>
      <c r="E70" s="10">
        <v>1850</v>
      </c>
      <c r="F70" s="38">
        <v>2300</v>
      </c>
      <c r="G70" s="10">
        <v>2150</v>
      </c>
      <c r="H70" s="9"/>
    </row>
    <row r="71" spans="1:8" ht="15.75" customHeight="1">
      <c r="A71" s="20" t="s">
        <v>115</v>
      </c>
      <c r="B71" s="8" t="s">
        <v>29</v>
      </c>
      <c r="C71" s="15" t="s">
        <v>40</v>
      </c>
      <c r="D71" s="6"/>
      <c r="E71" s="6">
        <v>3950</v>
      </c>
      <c r="F71" s="38">
        <v>4800</v>
      </c>
      <c r="G71" s="10">
        <v>4500</v>
      </c>
      <c r="H71" s="9"/>
    </row>
    <row r="72" spans="1:8" ht="15.75" customHeight="1">
      <c r="A72" s="20" t="s">
        <v>116</v>
      </c>
      <c r="B72" s="8" t="s">
        <v>27</v>
      </c>
      <c r="C72" s="15" t="s">
        <v>40</v>
      </c>
      <c r="D72" s="10"/>
      <c r="E72" s="10">
        <v>950</v>
      </c>
      <c r="F72" s="38">
        <v>1150</v>
      </c>
      <c r="G72" s="10">
        <v>1299</v>
      </c>
      <c r="H72" s="9"/>
    </row>
    <row r="73" spans="1:8" ht="15.75" customHeight="1">
      <c r="A73" s="20" t="s">
        <v>117</v>
      </c>
      <c r="B73" s="8" t="s">
        <v>29</v>
      </c>
      <c r="C73" s="15" t="s">
        <v>40</v>
      </c>
      <c r="D73" s="10"/>
      <c r="E73" s="10">
        <v>3000</v>
      </c>
      <c r="F73" s="38">
        <v>3700</v>
      </c>
      <c r="G73" s="10">
        <v>3299</v>
      </c>
      <c r="H73" s="9"/>
    </row>
    <row r="74" spans="1:8" ht="15.75" customHeight="1">
      <c r="A74" s="20" t="s">
        <v>118</v>
      </c>
      <c r="B74" s="8" t="s">
        <v>56</v>
      </c>
      <c r="C74" s="15" t="s">
        <v>40</v>
      </c>
      <c r="D74" s="8"/>
      <c r="E74" s="8">
        <v>550</v>
      </c>
      <c r="F74" s="19">
        <v>630</v>
      </c>
      <c r="G74" s="8">
        <v>800</v>
      </c>
      <c r="H74" s="9"/>
    </row>
    <row r="75" spans="1:8" ht="15.75" customHeight="1">
      <c r="A75" s="11" t="s">
        <v>119</v>
      </c>
      <c r="B75" s="6" t="s">
        <v>29</v>
      </c>
      <c r="C75" s="39"/>
      <c r="D75" s="6"/>
      <c r="E75" s="6">
        <v>3250</v>
      </c>
      <c r="F75" s="39">
        <v>4350</v>
      </c>
      <c r="G75" s="7">
        <v>4000</v>
      </c>
      <c r="H75" s="9"/>
    </row>
    <row r="76" spans="1:8" ht="15.75" customHeight="1">
      <c r="A76" s="37" t="s">
        <v>120</v>
      </c>
      <c r="B76" s="12"/>
      <c r="C76" s="13"/>
      <c r="D76" s="12"/>
      <c r="E76" s="12"/>
      <c r="F76" s="13"/>
      <c r="G76" s="25"/>
      <c r="H76" s="9"/>
    </row>
    <row r="77" spans="1:8" ht="15.75" customHeight="1">
      <c r="A77" s="40" t="s">
        <v>15</v>
      </c>
      <c r="B77" s="6" t="s">
        <v>29</v>
      </c>
      <c r="C77" s="26" t="s">
        <v>40</v>
      </c>
      <c r="D77" s="10"/>
      <c r="E77" s="10">
        <v>1200</v>
      </c>
      <c r="F77" s="7">
        <v>1380</v>
      </c>
      <c r="G77" s="8">
        <v>1280</v>
      </c>
      <c r="H77" s="9"/>
    </row>
    <row r="78" spans="1:8" ht="15.75" customHeight="1">
      <c r="A78" s="40" t="s">
        <v>121</v>
      </c>
      <c r="B78" s="6" t="s">
        <v>29</v>
      </c>
      <c r="C78" s="7" t="s">
        <v>16</v>
      </c>
      <c r="D78" s="6"/>
      <c r="E78" s="6">
        <v>2250</v>
      </c>
      <c r="F78" s="7">
        <v>2850</v>
      </c>
      <c r="G78" s="8">
        <v>2349</v>
      </c>
      <c r="H78" s="9"/>
    </row>
    <row r="79" spans="1:8" ht="15.75" customHeight="1">
      <c r="A79" s="40" t="s">
        <v>25</v>
      </c>
      <c r="B79" s="6"/>
      <c r="C79" s="7" t="s">
        <v>16</v>
      </c>
      <c r="D79" s="6"/>
      <c r="E79" s="6">
        <v>2100</v>
      </c>
      <c r="F79" s="7">
        <v>2780</v>
      </c>
      <c r="G79" s="8">
        <v>2580</v>
      </c>
      <c r="H79" s="9"/>
    </row>
    <row r="80" spans="1:8" ht="15.75" customHeight="1">
      <c r="A80" s="40" t="s">
        <v>24</v>
      </c>
      <c r="B80" s="6"/>
      <c r="C80" s="26" t="s">
        <v>40</v>
      </c>
      <c r="D80" s="6"/>
      <c r="E80" s="6">
        <v>2500</v>
      </c>
      <c r="F80" s="7">
        <v>3350</v>
      </c>
      <c r="G80" s="8">
        <v>3100</v>
      </c>
      <c r="H80" s="9"/>
    </row>
    <row r="81" spans="1:8" ht="15.75" customHeight="1">
      <c r="A81" s="37" t="s">
        <v>122</v>
      </c>
      <c r="B81" s="12"/>
      <c r="C81" s="13"/>
      <c r="D81" s="12"/>
      <c r="E81" s="12"/>
      <c r="F81" s="13"/>
      <c r="G81" s="13"/>
      <c r="H81" s="9"/>
    </row>
    <row r="82" spans="1:8" ht="15.75" customHeight="1">
      <c r="A82" s="35" t="s">
        <v>123</v>
      </c>
      <c r="B82" s="6" t="s">
        <v>42</v>
      </c>
      <c r="C82" s="26" t="s">
        <v>40</v>
      </c>
      <c r="D82" s="36"/>
      <c r="E82" s="36">
        <v>800</v>
      </c>
      <c r="F82" s="7">
        <v>800</v>
      </c>
      <c r="G82" s="8">
        <v>800</v>
      </c>
      <c r="H82" s="9"/>
    </row>
    <row r="83" spans="1:8" ht="15.75" customHeight="1">
      <c r="A83" s="35" t="s">
        <v>124</v>
      </c>
      <c r="B83" s="6" t="s">
        <v>42</v>
      </c>
      <c r="C83" s="26" t="s">
        <v>40</v>
      </c>
      <c r="D83" s="6"/>
      <c r="E83" s="6">
        <v>1450</v>
      </c>
      <c r="F83" s="7">
        <v>1700</v>
      </c>
      <c r="G83" s="8">
        <v>1580</v>
      </c>
      <c r="H83" s="9"/>
    </row>
    <row r="84" spans="1:8" ht="15.75" customHeight="1">
      <c r="A84" s="35" t="s">
        <v>125</v>
      </c>
      <c r="B84" s="6" t="s">
        <v>29</v>
      </c>
      <c r="C84" s="26" t="s">
        <v>40</v>
      </c>
      <c r="D84" s="6"/>
      <c r="E84" s="6">
        <v>7500</v>
      </c>
      <c r="F84" s="7">
        <v>9400</v>
      </c>
      <c r="G84" s="8">
        <v>8299</v>
      </c>
      <c r="H84" s="9"/>
    </row>
    <row r="85" spans="1:8" ht="15.75" customHeight="1">
      <c r="A85" s="41" t="s">
        <v>126</v>
      </c>
      <c r="B85" s="18" t="s">
        <v>29</v>
      </c>
      <c r="C85" s="42" t="s">
        <v>40</v>
      </c>
      <c r="D85" s="43"/>
      <c r="E85" s="43">
        <v>2150</v>
      </c>
      <c r="F85" s="44">
        <v>2550</v>
      </c>
      <c r="G85" s="43">
        <v>2360</v>
      </c>
      <c r="H85" s="9"/>
    </row>
    <row r="86" spans="1:8" ht="15.75" customHeight="1">
      <c r="A86" s="41" t="s">
        <v>127</v>
      </c>
      <c r="B86" s="18" t="s">
        <v>29</v>
      </c>
      <c r="C86" s="17" t="s">
        <v>16</v>
      </c>
      <c r="D86" s="43"/>
      <c r="E86" s="43">
        <v>4900</v>
      </c>
      <c r="F86" s="45">
        <v>5780</v>
      </c>
      <c r="G86" s="43">
        <v>5360</v>
      </c>
      <c r="H86" s="9"/>
    </row>
    <row r="87" spans="1:8" ht="15.75" customHeight="1">
      <c r="A87" s="14" t="s">
        <v>128</v>
      </c>
      <c r="B87" s="8" t="s">
        <v>27</v>
      </c>
      <c r="C87" s="15" t="s">
        <v>40</v>
      </c>
      <c r="D87" s="8"/>
      <c r="E87" s="8">
        <v>950</v>
      </c>
      <c r="F87" s="19">
        <v>1150</v>
      </c>
      <c r="G87" s="8">
        <v>1080</v>
      </c>
      <c r="H87" s="9"/>
    </row>
    <row r="88" spans="1:8" ht="15.75" customHeight="1">
      <c r="A88" s="41" t="s">
        <v>129</v>
      </c>
      <c r="B88" s="18" t="s">
        <v>27</v>
      </c>
      <c r="C88" s="17" t="s">
        <v>16</v>
      </c>
      <c r="D88" s="43"/>
      <c r="E88" s="43">
        <v>800</v>
      </c>
      <c r="F88" s="45">
        <v>950</v>
      </c>
      <c r="G88" s="43">
        <v>880</v>
      </c>
      <c r="H88" s="9"/>
    </row>
    <row r="89" spans="1:8" ht="15.75" customHeight="1">
      <c r="A89" s="14" t="s">
        <v>130</v>
      </c>
      <c r="B89" s="8" t="s">
        <v>27</v>
      </c>
      <c r="C89" s="15" t="s">
        <v>40</v>
      </c>
      <c r="D89" s="36"/>
      <c r="E89" s="36">
        <v>1250</v>
      </c>
      <c r="F89" s="19">
        <v>1300</v>
      </c>
      <c r="G89" s="8">
        <v>1250</v>
      </c>
      <c r="H89" s="9"/>
    </row>
    <row r="90" spans="1:8" ht="15.75" customHeight="1">
      <c r="A90" s="14" t="s">
        <v>131</v>
      </c>
      <c r="B90" s="8" t="s">
        <v>27</v>
      </c>
      <c r="C90" s="15" t="s">
        <v>40</v>
      </c>
      <c r="D90" s="8"/>
      <c r="E90" s="8">
        <v>1850</v>
      </c>
      <c r="F90" s="19">
        <v>2330</v>
      </c>
      <c r="G90" s="8">
        <v>2150</v>
      </c>
      <c r="H90" s="9"/>
    </row>
    <row r="91" spans="1:8" ht="15.75" customHeight="1">
      <c r="A91" s="41" t="s">
        <v>132</v>
      </c>
      <c r="B91" s="18" t="s">
        <v>29</v>
      </c>
      <c r="C91" s="46" t="s">
        <v>40</v>
      </c>
      <c r="D91" s="43"/>
      <c r="E91" s="43">
        <v>2880</v>
      </c>
      <c r="F91" s="45">
        <v>3400</v>
      </c>
      <c r="G91" s="43">
        <v>3150</v>
      </c>
      <c r="H91" s="9"/>
    </row>
    <row r="92" spans="1:8" ht="15.75" customHeight="1">
      <c r="A92" s="41" t="s">
        <v>133</v>
      </c>
      <c r="B92" s="18" t="s">
        <v>29</v>
      </c>
      <c r="C92" s="17" t="s">
        <v>16</v>
      </c>
      <c r="D92" s="43"/>
      <c r="E92" s="43">
        <v>7200</v>
      </c>
      <c r="F92" s="45">
        <v>8550</v>
      </c>
      <c r="G92" s="43">
        <v>7950</v>
      </c>
      <c r="H92" s="9"/>
    </row>
    <row r="93" spans="1:8" ht="15.75" customHeight="1">
      <c r="A93" s="14" t="s">
        <v>134</v>
      </c>
      <c r="B93" s="8" t="s">
        <v>14</v>
      </c>
      <c r="C93" s="15" t="s">
        <v>40</v>
      </c>
      <c r="D93" s="10"/>
      <c r="E93" s="10">
        <v>1050</v>
      </c>
      <c r="F93" s="19">
        <v>1150</v>
      </c>
      <c r="G93" s="8">
        <v>1080</v>
      </c>
      <c r="H93" s="9"/>
    </row>
    <row r="94" spans="1:8" ht="15.75" customHeight="1">
      <c r="A94" s="41" t="s">
        <v>135</v>
      </c>
      <c r="B94" s="18" t="s">
        <v>29</v>
      </c>
      <c r="C94" s="46" t="s">
        <v>40</v>
      </c>
      <c r="D94" s="43"/>
      <c r="E94" s="43">
        <v>1650</v>
      </c>
      <c r="F94" s="45">
        <v>1950</v>
      </c>
      <c r="G94" s="43">
        <v>1790</v>
      </c>
      <c r="H94" s="9"/>
    </row>
    <row r="95" spans="1:8" ht="15.75" customHeight="1">
      <c r="A95" s="41" t="s">
        <v>136</v>
      </c>
      <c r="B95" s="18" t="s">
        <v>29</v>
      </c>
      <c r="C95" s="46" t="s">
        <v>40</v>
      </c>
      <c r="D95" s="43"/>
      <c r="E95" s="43">
        <v>3450</v>
      </c>
      <c r="F95" s="45">
        <v>4050</v>
      </c>
      <c r="G95" s="43">
        <v>3800</v>
      </c>
      <c r="H95" s="9"/>
    </row>
    <row r="96" spans="1:8" ht="15.75" customHeight="1">
      <c r="A96" s="20" t="s">
        <v>137</v>
      </c>
      <c r="B96" s="8" t="s">
        <v>29</v>
      </c>
      <c r="C96" s="15" t="s">
        <v>40</v>
      </c>
      <c r="D96" s="10"/>
      <c r="E96" s="10">
        <v>2650</v>
      </c>
      <c r="F96" s="38">
        <v>3320</v>
      </c>
      <c r="G96" s="10">
        <v>3080</v>
      </c>
      <c r="H96" s="9"/>
    </row>
    <row r="97" spans="1:8" ht="15.75" customHeight="1">
      <c r="A97" s="47" t="s">
        <v>138</v>
      </c>
      <c r="B97" s="18" t="s">
        <v>32</v>
      </c>
      <c r="C97" s="46" t="s">
        <v>40</v>
      </c>
      <c r="D97" s="18"/>
      <c r="E97" s="43">
        <v>2100</v>
      </c>
      <c r="F97" s="45">
        <v>2500</v>
      </c>
      <c r="G97" s="43">
        <v>2300</v>
      </c>
      <c r="H97" s="9"/>
    </row>
    <row r="98" spans="1:8" ht="15.75" customHeight="1">
      <c r="A98" s="47" t="s">
        <v>139</v>
      </c>
      <c r="B98" s="18" t="s">
        <v>32</v>
      </c>
      <c r="C98" s="46" t="s">
        <v>40</v>
      </c>
      <c r="D98" s="43"/>
      <c r="E98" s="43">
        <v>3350</v>
      </c>
      <c r="F98" s="45">
        <v>4000</v>
      </c>
      <c r="G98" s="43">
        <v>3750</v>
      </c>
      <c r="H98" s="9"/>
    </row>
    <row r="99" spans="1:8" ht="15.75" customHeight="1">
      <c r="A99" s="2" t="s">
        <v>140</v>
      </c>
      <c r="B99" s="12"/>
      <c r="C99" s="13"/>
      <c r="D99" s="12"/>
      <c r="E99" s="12"/>
      <c r="F99" s="13"/>
      <c r="G99" s="13"/>
      <c r="H99" s="9"/>
    </row>
    <row r="100" spans="1:8" ht="15.75" customHeight="1">
      <c r="A100" s="5" t="s">
        <v>141</v>
      </c>
      <c r="B100" s="6" t="s">
        <v>29</v>
      </c>
      <c r="C100" s="7" t="s">
        <v>16</v>
      </c>
      <c r="D100" s="10"/>
      <c r="E100" s="10">
        <v>4150</v>
      </c>
      <c r="F100" s="48">
        <v>5550</v>
      </c>
      <c r="G100" s="10">
        <v>5180</v>
      </c>
      <c r="H100" s="9"/>
    </row>
    <row r="101" spans="1:8" ht="15.75" customHeight="1">
      <c r="A101" s="49" t="s">
        <v>142</v>
      </c>
      <c r="B101" s="8" t="s">
        <v>14</v>
      </c>
      <c r="C101" s="15" t="s">
        <v>40</v>
      </c>
      <c r="D101" s="10"/>
      <c r="E101" s="10">
        <v>2750</v>
      </c>
      <c r="F101" s="38">
        <v>3500</v>
      </c>
      <c r="G101" s="10">
        <v>3250</v>
      </c>
      <c r="H101" s="9"/>
    </row>
    <row r="102" spans="1:8" ht="15.75" customHeight="1">
      <c r="A102" s="2" t="s">
        <v>143</v>
      </c>
      <c r="B102" s="12"/>
      <c r="C102" s="13"/>
      <c r="D102" s="12"/>
      <c r="E102" s="12"/>
      <c r="F102" s="13"/>
      <c r="G102" s="13"/>
      <c r="H102" s="9"/>
    </row>
    <row r="103" spans="1:8" ht="15.75" customHeight="1">
      <c r="A103" s="5" t="s">
        <v>144</v>
      </c>
      <c r="B103" s="6" t="s">
        <v>42</v>
      </c>
      <c r="C103" s="7" t="s">
        <v>16</v>
      </c>
      <c r="D103" s="6"/>
      <c r="E103" s="6">
        <v>1500</v>
      </c>
      <c r="F103" s="1">
        <v>1850</v>
      </c>
      <c r="G103" s="8">
        <v>1649</v>
      </c>
      <c r="H103" s="9"/>
    </row>
    <row r="104" spans="1:8" ht="15.75" customHeight="1">
      <c r="A104" s="5" t="s">
        <v>145</v>
      </c>
      <c r="B104" s="6" t="s">
        <v>42</v>
      </c>
      <c r="C104" s="7" t="s">
        <v>16</v>
      </c>
      <c r="D104" s="6"/>
      <c r="E104" s="6">
        <v>2950</v>
      </c>
      <c r="F104" s="1">
        <v>4000</v>
      </c>
      <c r="G104" s="8">
        <v>3599</v>
      </c>
      <c r="H104" s="9"/>
    </row>
    <row r="105" spans="1:8" ht="15.75" customHeight="1">
      <c r="A105" s="5" t="s">
        <v>146</v>
      </c>
      <c r="B105" s="6" t="s">
        <v>42</v>
      </c>
      <c r="C105" s="26" t="s">
        <v>40</v>
      </c>
      <c r="D105" s="6"/>
      <c r="E105" s="6">
        <v>1450</v>
      </c>
      <c r="F105" s="1">
        <v>1780</v>
      </c>
      <c r="G105" s="8">
        <v>1599</v>
      </c>
      <c r="H105" s="9"/>
    </row>
    <row r="106" spans="1:8" ht="15.75" customHeight="1">
      <c r="A106" s="5" t="s">
        <v>147</v>
      </c>
      <c r="B106" s="6" t="s">
        <v>42</v>
      </c>
      <c r="C106" s="26" t="s">
        <v>40</v>
      </c>
      <c r="D106" s="6"/>
      <c r="E106" s="6">
        <v>1850</v>
      </c>
      <c r="F106" s="1">
        <v>2330</v>
      </c>
      <c r="G106" s="8">
        <v>2150</v>
      </c>
      <c r="H106" s="9"/>
    </row>
    <row r="107" spans="1:8" ht="15.75" customHeight="1">
      <c r="A107" s="2" t="s">
        <v>148</v>
      </c>
      <c r="B107" s="12"/>
      <c r="C107" s="13"/>
      <c r="D107" s="12"/>
      <c r="E107" s="12"/>
      <c r="F107" s="13"/>
      <c r="G107" s="13"/>
      <c r="H107" s="9"/>
    </row>
    <row r="108" spans="1:8" ht="15.75" customHeight="1">
      <c r="A108" s="49" t="s">
        <v>149</v>
      </c>
      <c r="B108" s="8" t="s">
        <v>14</v>
      </c>
      <c r="C108" s="19" t="s">
        <v>16</v>
      </c>
      <c r="D108" s="8"/>
      <c r="E108" s="8">
        <v>1500</v>
      </c>
      <c r="F108" s="19">
        <v>1850</v>
      </c>
      <c r="G108" s="8">
        <v>1730</v>
      </c>
      <c r="H108" s="9"/>
    </row>
    <row r="109" spans="1:8" ht="15.75" customHeight="1">
      <c r="A109" s="49" t="s">
        <v>150</v>
      </c>
      <c r="B109" s="8" t="s">
        <v>14</v>
      </c>
      <c r="C109" s="19" t="s">
        <v>16</v>
      </c>
      <c r="D109" s="8"/>
      <c r="E109" s="8">
        <v>1650</v>
      </c>
      <c r="F109" s="19">
        <v>1930</v>
      </c>
      <c r="G109" s="8">
        <v>1749</v>
      </c>
      <c r="H109" s="9"/>
    </row>
    <row r="110" spans="1:8" ht="15.75" customHeight="1">
      <c r="A110" s="20" t="s">
        <v>151</v>
      </c>
      <c r="B110" s="8" t="s">
        <v>14</v>
      </c>
      <c r="C110" s="19" t="s">
        <v>16</v>
      </c>
      <c r="D110" s="8"/>
      <c r="E110" s="8">
        <v>1950</v>
      </c>
      <c r="F110" s="19">
        <v>2380</v>
      </c>
      <c r="G110" s="8">
        <v>2220</v>
      </c>
      <c r="H110" s="9"/>
    </row>
    <row r="111" spans="1:8" ht="15.75" customHeight="1">
      <c r="A111" s="20" t="s">
        <v>152</v>
      </c>
      <c r="B111" s="8" t="s">
        <v>27</v>
      </c>
      <c r="C111" s="15" t="s">
        <v>40</v>
      </c>
      <c r="D111" s="8"/>
      <c r="E111" s="8">
        <v>1550</v>
      </c>
      <c r="F111" s="19">
        <v>1850</v>
      </c>
      <c r="G111" s="8">
        <v>1720</v>
      </c>
      <c r="H111" s="9"/>
    </row>
    <row r="112" spans="1:8" ht="15.75" customHeight="1">
      <c r="A112" s="20" t="s">
        <v>153</v>
      </c>
      <c r="B112" s="8" t="s">
        <v>14</v>
      </c>
      <c r="C112" s="15" t="s">
        <v>40</v>
      </c>
      <c r="D112" s="8"/>
      <c r="E112" s="8">
        <v>1450</v>
      </c>
      <c r="F112" s="19">
        <v>1780</v>
      </c>
      <c r="G112" s="8">
        <v>1650</v>
      </c>
      <c r="H112" s="9"/>
    </row>
    <row r="113" spans="1:8" ht="15.75" customHeight="1">
      <c r="A113" s="50" t="s">
        <v>154</v>
      </c>
      <c r="B113" s="8" t="s">
        <v>27</v>
      </c>
      <c r="C113" s="39"/>
      <c r="D113" s="6"/>
      <c r="E113" s="6">
        <v>1450</v>
      </c>
      <c r="F113" s="39">
        <v>1800</v>
      </c>
      <c r="G113" s="7">
        <v>1650</v>
      </c>
      <c r="H113" s="9"/>
    </row>
    <row r="114" spans="1:8" ht="15.75" customHeight="1">
      <c r="A114" s="2" t="s">
        <v>155</v>
      </c>
      <c r="B114" s="12"/>
      <c r="C114" s="13"/>
      <c r="D114" s="12"/>
      <c r="E114" s="12"/>
      <c r="F114" s="13"/>
      <c r="G114" s="13"/>
      <c r="H114" s="9"/>
    </row>
    <row r="115" spans="1:8" ht="15.75" customHeight="1">
      <c r="A115" s="5" t="s">
        <v>156</v>
      </c>
      <c r="B115" s="6" t="s">
        <v>14</v>
      </c>
      <c r="C115" s="7" t="s">
        <v>16</v>
      </c>
      <c r="D115" s="6"/>
      <c r="E115" s="6">
        <v>1600</v>
      </c>
      <c r="F115" s="7">
        <v>1680</v>
      </c>
      <c r="G115" s="8">
        <v>1600</v>
      </c>
      <c r="H115" s="9"/>
    </row>
    <row r="116" spans="1:8" ht="15.75" customHeight="1">
      <c r="A116" s="5" t="s">
        <v>157</v>
      </c>
      <c r="B116" s="6" t="s">
        <v>14</v>
      </c>
      <c r="C116" s="7" t="s">
        <v>16</v>
      </c>
      <c r="D116" s="6"/>
      <c r="E116" s="6">
        <v>1550</v>
      </c>
      <c r="F116" s="7">
        <v>1630</v>
      </c>
      <c r="G116" s="8">
        <v>1550</v>
      </c>
      <c r="H116" s="9"/>
    </row>
    <row r="117" spans="1:8" ht="15.75" customHeight="1">
      <c r="A117" s="5" t="s">
        <v>158</v>
      </c>
      <c r="B117" s="6" t="s">
        <v>14</v>
      </c>
      <c r="C117" s="7" t="s">
        <v>16</v>
      </c>
      <c r="D117" s="6"/>
      <c r="E117" s="6">
        <v>1600</v>
      </c>
      <c r="F117" s="7">
        <v>2000</v>
      </c>
      <c r="G117" s="8">
        <v>1860</v>
      </c>
      <c r="H117" s="9"/>
    </row>
    <row r="118" spans="1:8" ht="15.75" customHeight="1">
      <c r="A118" s="5" t="s">
        <v>159</v>
      </c>
      <c r="B118" s="6" t="s">
        <v>14</v>
      </c>
      <c r="C118" s="7" t="s">
        <v>16</v>
      </c>
      <c r="D118" s="6"/>
      <c r="E118" s="6">
        <v>1250</v>
      </c>
      <c r="F118" s="7">
        <v>1400</v>
      </c>
      <c r="G118" s="8">
        <v>1300</v>
      </c>
      <c r="H118" s="9"/>
    </row>
    <row r="119" spans="1:8" ht="15.75" customHeight="1">
      <c r="A119" s="2" t="s">
        <v>160</v>
      </c>
      <c r="B119" s="12"/>
      <c r="C119" s="13"/>
      <c r="D119" s="12"/>
      <c r="E119" s="12"/>
      <c r="F119" s="13"/>
      <c r="G119" s="13"/>
      <c r="H119" s="9"/>
    </row>
    <row r="120" spans="1:8" ht="15.75" customHeight="1">
      <c r="A120" s="6" t="s">
        <v>161</v>
      </c>
      <c r="B120" s="6" t="s">
        <v>58</v>
      </c>
      <c r="C120" s="7" t="s">
        <v>16</v>
      </c>
      <c r="D120" s="6"/>
      <c r="E120" s="6">
        <v>1050</v>
      </c>
      <c r="F120" s="7">
        <v>1230</v>
      </c>
      <c r="G120" s="8">
        <v>1150</v>
      </c>
      <c r="H120" s="9"/>
    </row>
    <row r="121" spans="1:8" ht="15.75" customHeight="1">
      <c r="A121" s="51" t="s">
        <v>162</v>
      </c>
      <c r="B121" s="12"/>
      <c r="C121" s="13"/>
      <c r="D121" s="12"/>
      <c r="E121" s="12"/>
      <c r="F121" s="13"/>
      <c r="G121" s="13"/>
      <c r="H121" s="9"/>
    </row>
    <row r="122" spans="1:8" ht="15.75" customHeight="1">
      <c r="A122" s="5" t="s">
        <v>163</v>
      </c>
      <c r="B122" s="6" t="s">
        <v>58</v>
      </c>
      <c r="C122" s="26" t="s">
        <v>40</v>
      </c>
      <c r="D122" s="6"/>
      <c r="E122" s="10">
        <v>1350</v>
      </c>
      <c r="F122" s="7">
        <v>1480</v>
      </c>
      <c r="G122" s="8">
        <v>1360</v>
      </c>
      <c r="H122" s="9"/>
    </row>
    <row r="123" spans="1:8" ht="15.75" customHeight="1">
      <c r="A123" s="5" t="s">
        <v>164</v>
      </c>
      <c r="B123" s="6" t="s">
        <v>14</v>
      </c>
      <c r="C123" s="7" t="s">
        <v>16</v>
      </c>
      <c r="D123" s="6"/>
      <c r="E123" s="10">
        <v>1650</v>
      </c>
      <c r="F123" s="48">
        <v>1650</v>
      </c>
      <c r="G123" s="10">
        <v>1650</v>
      </c>
      <c r="H123" s="9"/>
    </row>
    <row r="124" spans="1:8" ht="15.75" customHeight="1">
      <c r="A124" s="5" t="s">
        <v>165</v>
      </c>
      <c r="B124" s="6" t="s">
        <v>27</v>
      </c>
      <c r="C124" s="26" t="s">
        <v>40</v>
      </c>
      <c r="D124" s="6"/>
      <c r="E124" s="6">
        <v>950</v>
      </c>
      <c r="F124" s="7">
        <v>1000</v>
      </c>
      <c r="G124" s="8">
        <v>930</v>
      </c>
      <c r="H124" s="9"/>
    </row>
    <row r="125" spans="1:8" ht="15.75" customHeight="1">
      <c r="A125" s="51" t="s">
        <v>166</v>
      </c>
      <c r="B125" s="12"/>
      <c r="C125" s="13"/>
      <c r="D125" s="12"/>
      <c r="E125" s="12"/>
      <c r="F125" s="13"/>
      <c r="G125" s="13"/>
      <c r="H125" s="9"/>
    </row>
    <row r="126" spans="1:8" ht="15.75" customHeight="1">
      <c r="A126" s="5" t="s">
        <v>167</v>
      </c>
      <c r="B126" s="6" t="s">
        <v>14</v>
      </c>
      <c r="C126" s="7" t="s">
        <v>16</v>
      </c>
      <c r="D126" s="6"/>
      <c r="E126" s="6">
        <v>1650</v>
      </c>
      <c r="F126" s="7">
        <v>2080</v>
      </c>
      <c r="G126" s="8">
        <v>1930</v>
      </c>
      <c r="H126" s="9"/>
    </row>
    <row r="127" spans="1:8" ht="15.75" customHeight="1">
      <c r="A127" s="51" t="s">
        <v>168</v>
      </c>
      <c r="B127" s="12"/>
      <c r="C127" s="13"/>
      <c r="D127" s="12"/>
      <c r="E127" s="12"/>
      <c r="F127" s="13"/>
      <c r="G127" s="13"/>
      <c r="H127" s="9"/>
    </row>
    <row r="128" spans="1:8" ht="15.75" customHeight="1">
      <c r="A128" s="5" t="s">
        <v>169</v>
      </c>
      <c r="B128" s="6" t="s">
        <v>54</v>
      </c>
      <c r="C128" s="26" t="s">
        <v>40</v>
      </c>
      <c r="D128" s="6"/>
      <c r="E128" s="6">
        <v>320</v>
      </c>
      <c r="F128" s="7">
        <v>400</v>
      </c>
      <c r="G128" s="8">
        <v>370</v>
      </c>
      <c r="H128" s="9"/>
    </row>
    <row r="129" spans="1:8" ht="15.75" customHeight="1">
      <c r="A129" s="5" t="s">
        <v>170</v>
      </c>
      <c r="B129" s="6" t="s">
        <v>54</v>
      </c>
      <c r="C129" s="26" t="s">
        <v>40</v>
      </c>
      <c r="D129" s="6"/>
      <c r="E129" s="6">
        <v>540</v>
      </c>
      <c r="F129" s="7">
        <v>680</v>
      </c>
      <c r="G129" s="8">
        <v>620</v>
      </c>
      <c r="H129" s="9"/>
    </row>
    <row r="130" spans="1:8" ht="15.75" customHeight="1">
      <c r="A130" s="51" t="s">
        <v>171</v>
      </c>
      <c r="B130" s="12"/>
      <c r="C130" s="13"/>
      <c r="D130" s="12"/>
      <c r="E130" s="12"/>
      <c r="F130" s="13"/>
      <c r="G130" s="13"/>
      <c r="H130" s="9"/>
    </row>
    <row r="131" spans="1:8" ht="15.75" customHeight="1">
      <c r="A131" s="5" t="s">
        <v>172</v>
      </c>
      <c r="B131" s="6" t="s">
        <v>91</v>
      </c>
      <c r="C131" s="7" t="s">
        <v>16</v>
      </c>
      <c r="D131" s="6"/>
      <c r="E131" s="6">
        <v>1550</v>
      </c>
      <c r="F131" s="7">
        <v>1850</v>
      </c>
      <c r="G131" s="8">
        <v>1680</v>
      </c>
      <c r="H131" s="9"/>
    </row>
    <row r="132" spans="1:8" ht="15.75" customHeight="1">
      <c r="A132" s="51" t="s">
        <v>173</v>
      </c>
      <c r="B132" s="12"/>
      <c r="C132" s="13"/>
      <c r="D132" s="12"/>
      <c r="E132" s="12"/>
      <c r="F132" s="13"/>
      <c r="G132" s="13"/>
      <c r="H132" s="9"/>
    </row>
    <row r="133" spans="1:8" ht="15.75" customHeight="1">
      <c r="A133" s="52" t="s">
        <v>174</v>
      </c>
      <c r="B133" s="6" t="s">
        <v>175</v>
      </c>
      <c r="C133" s="26" t="s">
        <v>40</v>
      </c>
      <c r="D133" s="6"/>
      <c r="E133" s="6">
        <v>250</v>
      </c>
      <c r="F133" s="7">
        <v>250</v>
      </c>
      <c r="G133" s="8">
        <v>250</v>
      </c>
      <c r="H133" s="9"/>
    </row>
    <row r="134" spans="1:8" ht="15.75" customHeight="1">
      <c r="A134" s="40" t="s">
        <v>176</v>
      </c>
      <c r="B134" s="6" t="s">
        <v>175</v>
      </c>
      <c r="C134" s="26" t="s">
        <v>40</v>
      </c>
      <c r="D134" s="6"/>
      <c r="E134" s="6">
        <v>850</v>
      </c>
      <c r="F134" s="7">
        <v>780</v>
      </c>
      <c r="G134" s="8">
        <v>850</v>
      </c>
      <c r="H134" s="9"/>
    </row>
    <row r="135" spans="1:8" ht="15.75" customHeight="1">
      <c r="A135" s="51" t="s">
        <v>177</v>
      </c>
      <c r="B135" s="12"/>
      <c r="C135" s="13"/>
      <c r="D135" s="12"/>
      <c r="E135" s="12"/>
      <c r="F135" s="13"/>
      <c r="G135" s="13"/>
      <c r="H135" s="9"/>
    </row>
    <row r="136" spans="1:8" ht="15.75" customHeight="1">
      <c r="A136" s="5" t="s">
        <v>178</v>
      </c>
      <c r="B136" s="6" t="s">
        <v>179</v>
      </c>
      <c r="C136" s="7" t="s">
        <v>16</v>
      </c>
      <c r="D136" s="6"/>
      <c r="E136" s="6">
        <v>200</v>
      </c>
      <c r="F136" s="7">
        <v>200</v>
      </c>
      <c r="G136" s="8">
        <v>200</v>
      </c>
      <c r="H136" s="9"/>
    </row>
    <row r="137" spans="1:8" ht="15.75" customHeight="1">
      <c r="A137" s="5" t="s">
        <v>180</v>
      </c>
      <c r="B137" s="6" t="s">
        <v>179</v>
      </c>
      <c r="C137" s="7" t="s">
        <v>16</v>
      </c>
      <c r="D137" s="6"/>
      <c r="E137" s="6">
        <v>350</v>
      </c>
      <c r="F137" s="7">
        <v>350</v>
      </c>
      <c r="G137" s="8">
        <v>350</v>
      </c>
      <c r="H137" s="9"/>
    </row>
    <row r="138" spans="1:8" ht="15.75" customHeight="1">
      <c r="A138" s="5" t="s">
        <v>181</v>
      </c>
      <c r="B138" s="6" t="s">
        <v>179</v>
      </c>
      <c r="C138" s="7" t="s">
        <v>16</v>
      </c>
      <c r="D138" s="6"/>
      <c r="E138" s="6">
        <v>250</v>
      </c>
      <c r="F138" s="7">
        <v>250</v>
      </c>
      <c r="G138" s="8">
        <v>250</v>
      </c>
      <c r="H138" s="9"/>
    </row>
    <row r="139" spans="1:8" ht="15.75" customHeight="1">
      <c r="A139" s="5" t="s">
        <v>182</v>
      </c>
      <c r="B139" s="6" t="s">
        <v>179</v>
      </c>
      <c r="C139" s="7" t="s">
        <v>16</v>
      </c>
      <c r="D139" s="6"/>
      <c r="E139" s="6">
        <v>350</v>
      </c>
      <c r="F139" s="7">
        <v>350</v>
      </c>
      <c r="G139" s="8">
        <v>350</v>
      </c>
      <c r="H139" s="9"/>
    </row>
    <row r="140" spans="1:8" ht="15.75" customHeight="1">
      <c r="A140" s="5" t="s">
        <v>183</v>
      </c>
      <c r="B140" s="6" t="s">
        <v>179</v>
      </c>
      <c r="C140" s="7" t="s">
        <v>16</v>
      </c>
      <c r="D140" s="10"/>
      <c r="E140" s="6">
        <v>250</v>
      </c>
      <c r="F140" s="7">
        <v>250</v>
      </c>
      <c r="G140" s="8">
        <v>250</v>
      </c>
      <c r="H140" s="9"/>
    </row>
    <row r="141" spans="1:8" ht="15.75" customHeight="1">
      <c r="A141" s="5" t="s">
        <v>184</v>
      </c>
      <c r="B141" s="6" t="s">
        <v>179</v>
      </c>
      <c r="C141" s="7" t="s">
        <v>16</v>
      </c>
      <c r="D141" s="10"/>
      <c r="E141" s="6">
        <v>200</v>
      </c>
      <c r="F141" s="7">
        <v>200</v>
      </c>
      <c r="G141" s="8">
        <v>200</v>
      </c>
      <c r="H141" s="9"/>
    </row>
    <row r="142" spans="1:8" ht="15.75" customHeight="1">
      <c r="A142" s="5" t="s">
        <v>185</v>
      </c>
      <c r="B142" s="6" t="s">
        <v>179</v>
      </c>
      <c r="C142" s="7" t="s">
        <v>16</v>
      </c>
      <c r="D142" s="10"/>
      <c r="E142" s="6">
        <v>250</v>
      </c>
      <c r="F142" s="7">
        <v>250</v>
      </c>
      <c r="G142" s="8">
        <v>250</v>
      </c>
      <c r="H142" s="9"/>
    </row>
    <row r="143" spans="1:8" ht="15.75" customHeight="1">
      <c r="A143" s="53" t="s">
        <v>186</v>
      </c>
      <c r="B143" s="12"/>
      <c r="C143" s="13"/>
      <c r="D143" s="12"/>
      <c r="E143" s="12"/>
      <c r="F143" s="13"/>
      <c r="G143" s="13"/>
      <c r="H143" s="9"/>
    </row>
    <row r="144" spans="1:8" ht="15.75" customHeight="1">
      <c r="A144" s="5" t="s">
        <v>187</v>
      </c>
      <c r="B144" s="6" t="s">
        <v>27</v>
      </c>
      <c r="C144" s="7" t="s">
        <v>16</v>
      </c>
      <c r="D144" s="6"/>
      <c r="E144" s="6">
        <v>399</v>
      </c>
      <c r="F144" s="7">
        <v>490</v>
      </c>
      <c r="G144" s="8">
        <v>460</v>
      </c>
      <c r="H144" s="9"/>
    </row>
    <row r="145" spans="1:8" ht="15.75" customHeight="1">
      <c r="A145" s="5" t="s">
        <v>188</v>
      </c>
      <c r="B145" s="6" t="s">
        <v>27</v>
      </c>
      <c r="C145" s="7" t="s">
        <v>16</v>
      </c>
      <c r="D145" s="6"/>
      <c r="E145" s="6">
        <v>799</v>
      </c>
      <c r="F145" s="7">
        <v>800</v>
      </c>
      <c r="G145" s="8">
        <v>800</v>
      </c>
      <c r="H145" s="9"/>
    </row>
    <row r="146" spans="1:8" ht="15.75" customHeight="1">
      <c r="A146" s="40" t="s">
        <v>189</v>
      </c>
      <c r="B146" s="6" t="s">
        <v>27</v>
      </c>
      <c r="C146" s="7" t="s">
        <v>16</v>
      </c>
      <c r="D146" s="6"/>
      <c r="E146" s="6">
        <v>850</v>
      </c>
      <c r="F146" s="7">
        <v>930</v>
      </c>
      <c r="G146" s="8">
        <v>860</v>
      </c>
      <c r="H146" s="9"/>
    </row>
    <row r="147" spans="1:8" ht="15.75" customHeight="1">
      <c r="A147" s="54" t="s">
        <v>190</v>
      </c>
      <c r="B147" s="12"/>
      <c r="C147" s="13"/>
      <c r="D147" s="12"/>
      <c r="E147" s="12"/>
      <c r="F147" s="13"/>
      <c r="G147" s="13"/>
      <c r="H147" s="9"/>
    </row>
    <row r="148" spans="1:8" ht="15.75" customHeight="1">
      <c r="A148" s="40" t="s">
        <v>191</v>
      </c>
      <c r="B148" s="6" t="s">
        <v>192</v>
      </c>
      <c r="C148" s="7" t="s">
        <v>16</v>
      </c>
      <c r="D148" s="6"/>
      <c r="E148" s="6">
        <v>595</v>
      </c>
      <c r="F148" s="7">
        <v>595</v>
      </c>
      <c r="G148" s="8">
        <v>595</v>
      </c>
      <c r="H148" s="9"/>
    </row>
    <row r="149" spans="1:8" ht="15.75" customHeight="1">
      <c r="A149" s="40" t="s">
        <v>193</v>
      </c>
      <c r="B149" s="6" t="s">
        <v>192</v>
      </c>
      <c r="C149" s="7" t="s">
        <v>16</v>
      </c>
      <c r="D149" s="6"/>
      <c r="E149" s="6">
        <v>1150</v>
      </c>
      <c r="F149" s="7">
        <v>1150</v>
      </c>
      <c r="G149" s="8">
        <v>1150</v>
      </c>
      <c r="H149" s="9"/>
    </row>
    <row r="150" spans="1:8" ht="15.75" customHeight="1">
      <c r="A150" s="5" t="s">
        <v>194</v>
      </c>
      <c r="B150" s="6" t="s">
        <v>179</v>
      </c>
      <c r="C150" s="7" t="s">
        <v>16</v>
      </c>
      <c r="D150" s="6"/>
      <c r="E150" s="6">
        <v>250</v>
      </c>
      <c r="F150" s="7">
        <v>250</v>
      </c>
      <c r="G150" s="8">
        <v>250</v>
      </c>
      <c r="H150" s="9"/>
    </row>
    <row r="151" spans="1:8" ht="15.75" customHeight="1">
      <c r="A151" s="55" t="s">
        <v>195</v>
      </c>
      <c r="B151" s="12"/>
      <c r="C151" s="13"/>
      <c r="D151" s="12"/>
      <c r="E151" s="12"/>
      <c r="F151" s="13"/>
      <c r="G151" s="13"/>
      <c r="H151" s="9"/>
    </row>
    <row r="152" spans="1:8" ht="15.75" customHeight="1">
      <c r="A152" s="40" t="s">
        <v>196</v>
      </c>
      <c r="B152" s="6" t="s">
        <v>197</v>
      </c>
      <c r="C152" s="26" t="s">
        <v>40</v>
      </c>
      <c r="D152" s="6"/>
      <c r="E152" s="6">
        <v>480</v>
      </c>
      <c r="F152" s="7">
        <v>500</v>
      </c>
      <c r="G152" s="8">
        <v>480</v>
      </c>
      <c r="H152" s="9"/>
    </row>
    <row r="153" spans="1:8" ht="15.75" customHeight="1">
      <c r="A153" s="55" t="s">
        <v>198</v>
      </c>
      <c r="B153" s="12"/>
      <c r="C153" s="13"/>
      <c r="D153" s="12"/>
      <c r="E153" s="12"/>
      <c r="F153" s="13"/>
      <c r="G153" s="13"/>
      <c r="H153" s="9"/>
    </row>
    <row r="154" spans="1:8" ht="15.75" customHeight="1">
      <c r="A154" s="20" t="s">
        <v>199</v>
      </c>
      <c r="B154" s="8" t="s">
        <v>29</v>
      </c>
      <c r="C154" s="15" t="s">
        <v>40</v>
      </c>
      <c r="D154" s="8"/>
      <c r="E154" s="8">
        <v>2450</v>
      </c>
      <c r="F154" s="19">
        <v>3100</v>
      </c>
      <c r="G154" s="8">
        <v>2860</v>
      </c>
      <c r="H154" s="9"/>
    </row>
    <row r="155" spans="1:8" ht="15.75" customHeight="1">
      <c r="A155" s="56" t="s">
        <v>200</v>
      </c>
      <c r="B155" s="12"/>
      <c r="C155" s="13"/>
      <c r="D155" s="12"/>
      <c r="E155" s="12"/>
      <c r="F155" s="13"/>
      <c r="G155" s="13"/>
      <c r="H155" s="9"/>
    </row>
    <row r="156" spans="1:8" ht="15.75" customHeight="1">
      <c r="A156" s="57" t="s">
        <v>201</v>
      </c>
      <c r="B156" s="6" t="s">
        <v>14</v>
      </c>
      <c r="C156" s="26" t="s">
        <v>40</v>
      </c>
      <c r="D156" s="6"/>
      <c r="E156" s="6">
        <v>2700</v>
      </c>
      <c r="F156" s="7">
        <v>3390</v>
      </c>
      <c r="G156" s="8">
        <v>3150</v>
      </c>
      <c r="H156" s="9"/>
    </row>
    <row r="157" spans="1:8" ht="15.75" customHeight="1">
      <c r="A157" s="57" t="s">
        <v>202</v>
      </c>
      <c r="B157" s="6" t="s">
        <v>14</v>
      </c>
      <c r="C157" s="26" t="s">
        <v>40</v>
      </c>
      <c r="D157" s="6"/>
      <c r="E157" s="6">
        <v>2700</v>
      </c>
      <c r="F157" s="7">
        <v>3390</v>
      </c>
      <c r="G157" s="8">
        <v>3150</v>
      </c>
      <c r="H157" s="9"/>
    </row>
    <row r="158" spans="1:8" ht="15.75" customHeight="1">
      <c r="A158" s="57" t="s">
        <v>203</v>
      </c>
      <c r="B158" s="6" t="s">
        <v>58</v>
      </c>
      <c r="C158" s="26" t="s">
        <v>40</v>
      </c>
      <c r="D158" s="6"/>
      <c r="E158" s="6">
        <v>2800</v>
      </c>
      <c r="F158" s="7">
        <v>3350</v>
      </c>
      <c r="G158" s="8">
        <v>3150</v>
      </c>
      <c r="H158" s="9"/>
    </row>
    <row r="159" spans="1:8" ht="15.75" customHeight="1">
      <c r="A159" s="57" t="s">
        <v>204</v>
      </c>
      <c r="B159" s="6" t="s">
        <v>205</v>
      </c>
      <c r="C159" s="26" t="s">
        <v>40</v>
      </c>
      <c r="D159" s="6"/>
      <c r="E159" s="6">
        <v>2450</v>
      </c>
      <c r="F159" s="7">
        <v>3080</v>
      </c>
      <c r="G159" s="8">
        <v>2860</v>
      </c>
      <c r="H159" s="9"/>
    </row>
    <row r="160" spans="1:8" ht="15.75" customHeight="1">
      <c r="A160" s="57" t="s">
        <v>206</v>
      </c>
      <c r="B160" s="6" t="s">
        <v>192</v>
      </c>
      <c r="C160" s="26" t="s">
        <v>40</v>
      </c>
      <c r="D160" s="6"/>
      <c r="E160" s="6">
        <v>2400</v>
      </c>
      <c r="F160" s="7">
        <v>3080</v>
      </c>
      <c r="G160" s="8">
        <v>2860</v>
      </c>
      <c r="H160" s="9"/>
    </row>
    <row r="161" spans="1:8" ht="15.75" customHeight="1">
      <c r="A161" s="57" t="s">
        <v>207</v>
      </c>
      <c r="B161" s="6" t="s">
        <v>205</v>
      </c>
      <c r="C161" s="26" t="s">
        <v>40</v>
      </c>
      <c r="D161" s="6"/>
      <c r="E161" s="6">
        <v>3000</v>
      </c>
      <c r="F161" s="7">
        <v>3850</v>
      </c>
      <c r="G161" s="8">
        <v>3570</v>
      </c>
      <c r="H161" s="9"/>
    </row>
    <row r="162" spans="1:8" ht="15.75" customHeight="1">
      <c r="A162" s="57" t="s">
        <v>208</v>
      </c>
      <c r="B162" s="6" t="s">
        <v>29</v>
      </c>
      <c r="C162" s="26" t="s">
        <v>40</v>
      </c>
      <c r="D162" s="6"/>
      <c r="E162" s="6">
        <v>4900</v>
      </c>
      <c r="F162" s="7">
        <v>6250</v>
      </c>
      <c r="G162" s="8">
        <v>5780</v>
      </c>
      <c r="H162" s="9"/>
    </row>
    <row r="163" spans="1:8" ht="15.75" customHeight="1">
      <c r="A163" s="57" t="s">
        <v>209</v>
      </c>
      <c r="B163" s="6" t="s">
        <v>27</v>
      </c>
      <c r="C163" s="26" t="s">
        <v>40</v>
      </c>
      <c r="D163" s="6"/>
      <c r="E163" s="6">
        <v>2250</v>
      </c>
      <c r="F163" s="7">
        <v>2650</v>
      </c>
      <c r="G163" s="8">
        <v>2470</v>
      </c>
      <c r="H163" s="9"/>
    </row>
    <row r="164" spans="1:8" ht="15.75" customHeight="1">
      <c r="A164" s="57" t="s">
        <v>210</v>
      </c>
      <c r="B164" s="6" t="s">
        <v>58</v>
      </c>
      <c r="C164" s="26" t="s">
        <v>40</v>
      </c>
      <c r="D164" s="6"/>
      <c r="E164" s="6">
        <v>2300</v>
      </c>
      <c r="F164" s="7">
        <v>2950</v>
      </c>
      <c r="G164" s="8">
        <v>2750</v>
      </c>
      <c r="H164" s="9"/>
    </row>
    <row r="165" spans="1:8" ht="15.75" customHeight="1">
      <c r="A165" s="57" t="s">
        <v>211</v>
      </c>
      <c r="B165" s="6" t="s">
        <v>58</v>
      </c>
      <c r="C165" s="26" t="s">
        <v>40</v>
      </c>
      <c r="D165" s="6"/>
      <c r="E165" s="6">
        <v>2200</v>
      </c>
      <c r="F165" s="7">
        <v>2650</v>
      </c>
      <c r="G165" s="8">
        <v>2480</v>
      </c>
      <c r="H165" s="9"/>
    </row>
    <row r="166" spans="1:8" ht="15.75" customHeight="1">
      <c r="A166" s="57" t="s">
        <v>212</v>
      </c>
      <c r="B166" s="6" t="s">
        <v>58</v>
      </c>
      <c r="C166" s="26" t="s">
        <v>40</v>
      </c>
      <c r="D166" s="6"/>
      <c r="E166" s="6">
        <v>2200</v>
      </c>
      <c r="F166" s="7">
        <v>2650</v>
      </c>
      <c r="G166" s="8">
        <v>2480</v>
      </c>
      <c r="H166" s="9"/>
    </row>
    <row r="167" spans="1:8" ht="15.75" customHeight="1">
      <c r="A167" s="58" t="s">
        <v>213</v>
      </c>
      <c r="B167" s="59"/>
      <c r="C167" s="59"/>
      <c r="D167" s="59"/>
      <c r="E167" s="59"/>
      <c r="F167" s="59"/>
      <c r="G167" s="59"/>
    </row>
    <row r="168" spans="1:8" ht="15.75" customHeight="1">
      <c r="A168" s="11" t="s">
        <v>214</v>
      </c>
      <c r="B168" s="22" t="s">
        <v>42</v>
      </c>
      <c r="C168" s="60" t="s">
        <v>40</v>
      </c>
      <c r="D168" s="22"/>
      <c r="E168" s="22">
        <v>1400</v>
      </c>
      <c r="F168" s="22">
        <v>1200</v>
      </c>
      <c r="G168" s="23">
        <v>1100</v>
      </c>
    </row>
    <row r="169" spans="1:8" ht="15.75" customHeight="1">
      <c r="A169" s="50" t="s">
        <v>215</v>
      </c>
      <c r="B169" s="22" t="s">
        <v>216</v>
      </c>
      <c r="C169" s="22"/>
      <c r="D169" s="22"/>
      <c r="E169" s="22">
        <v>2950</v>
      </c>
      <c r="F169" s="22">
        <v>2900</v>
      </c>
      <c r="G169" s="23">
        <v>2670</v>
      </c>
    </row>
    <row r="170" spans="1:8" ht="15.75" customHeight="1">
      <c r="A170" s="58" t="s">
        <v>217</v>
      </c>
      <c r="B170" s="59"/>
      <c r="C170" s="59"/>
      <c r="D170" s="59"/>
      <c r="E170" s="59"/>
      <c r="F170" s="59"/>
      <c r="G170" s="59"/>
    </row>
    <row r="171" spans="1:8" ht="15.75" customHeight="1">
      <c r="A171" s="61" t="s">
        <v>218</v>
      </c>
      <c r="B171" s="62" t="s">
        <v>219</v>
      </c>
      <c r="C171" s="63" t="s">
        <v>40</v>
      </c>
      <c r="D171" s="62"/>
      <c r="E171" s="62">
        <v>2500</v>
      </c>
      <c r="F171" s="64">
        <v>2800</v>
      </c>
      <c r="G171" s="64">
        <v>2570</v>
      </c>
    </row>
    <row r="172" spans="1:8" ht="15.75" customHeight="1">
      <c r="A172" s="65" t="s">
        <v>220</v>
      </c>
      <c r="B172" s="66"/>
      <c r="C172" s="66"/>
      <c r="D172" s="66"/>
      <c r="E172" s="66"/>
      <c r="F172" s="67"/>
      <c r="G172" s="67"/>
    </row>
    <row r="173" spans="1:8" ht="15.75" customHeight="1">
      <c r="A173" s="68" t="s">
        <v>221</v>
      </c>
      <c r="B173" s="62" t="s">
        <v>216</v>
      </c>
      <c r="C173" s="62"/>
      <c r="D173" s="62"/>
      <c r="E173" s="62">
        <v>3700</v>
      </c>
      <c r="F173" s="64">
        <v>4800</v>
      </c>
      <c r="G173" s="64">
        <v>4430</v>
      </c>
    </row>
    <row r="174" spans="1:8" ht="15.75" customHeight="1">
      <c r="A174" s="58" t="s">
        <v>222</v>
      </c>
      <c r="B174" s="59"/>
      <c r="C174" s="59"/>
      <c r="D174" s="59"/>
      <c r="E174" s="59"/>
      <c r="F174" s="59"/>
      <c r="G174" s="59"/>
    </row>
    <row r="175" spans="1:8" ht="15.75" customHeight="1">
      <c r="A175" s="11" t="s">
        <v>223</v>
      </c>
      <c r="B175" s="22" t="s">
        <v>216</v>
      </c>
      <c r="C175" s="22"/>
      <c r="D175" s="22"/>
      <c r="E175" s="22">
        <v>840</v>
      </c>
      <c r="F175" s="22">
        <v>1140</v>
      </c>
      <c r="G175" s="22">
        <v>1060</v>
      </c>
    </row>
    <row r="176" spans="1:8" ht="15.75" customHeight="1">
      <c r="A176" s="11" t="s">
        <v>224</v>
      </c>
      <c r="B176" s="22" t="s">
        <v>216</v>
      </c>
      <c r="C176" s="22"/>
      <c r="D176" s="22"/>
      <c r="E176" s="22">
        <v>750</v>
      </c>
      <c r="F176" s="22">
        <v>1000</v>
      </c>
      <c r="G176" s="22">
        <v>930</v>
      </c>
    </row>
    <row r="177" spans="1:7" ht="15.75" customHeight="1">
      <c r="A177" s="11" t="s">
        <v>225</v>
      </c>
      <c r="B177" s="8" t="s">
        <v>32</v>
      </c>
      <c r="C177" s="22"/>
      <c r="D177" s="22"/>
      <c r="E177" s="22">
        <v>250</v>
      </c>
      <c r="F177" s="22">
        <v>250</v>
      </c>
      <c r="G177" s="22">
        <v>220</v>
      </c>
    </row>
    <row r="178" spans="1:7" ht="15.75" customHeight="1">
      <c r="A178" s="11" t="s">
        <v>226</v>
      </c>
      <c r="B178" s="8" t="s">
        <v>32</v>
      </c>
      <c r="C178" s="22"/>
      <c r="D178" s="22"/>
      <c r="E178" s="22">
        <v>520</v>
      </c>
      <c r="F178" s="22">
        <v>600</v>
      </c>
      <c r="G178" s="22">
        <v>520</v>
      </c>
    </row>
    <row r="179" spans="1:7" ht="15.75" customHeight="1">
      <c r="A179" s="58" t="s">
        <v>227</v>
      </c>
      <c r="B179" s="59"/>
      <c r="C179" s="59"/>
      <c r="D179" s="59"/>
      <c r="E179" s="59"/>
      <c r="F179" s="59"/>
      <c r="G179" s="59"/>
    </row>
    <row r="180" spans="1:7" ht="15.75" customHeight="1">
      <c r="A180" s="11" t="s">
        <v>228</v>
      </c>
      <c r="B180" s="22" t="s">
        <v>205</v>
      </c>
      <c r="C180" s="22"/>
      <c r="D180" s="22"/>
      <c r="E180" s="22">
        <v>600</v>
      </c>
      <c r="F180" s="22">
        <v>700</v>
      </c>
      <c r="G180" s="22">
        <v>650</v>
      </c>
    </row>
    <row r="181" spans="1:7" ht="15.75" customHeight="1">
      <c r="A181" s="11" t="s">
        <v>229</v>
      </c>
      <c r="B181" s="22" t="s">
        <v>42</v>
      </c>
      <c r="C181" s="22"/>
      <c r="D181" s="22"/>
      <c r="E181" s="22">
        <v>1300</v>
      </c>
      <c r="F181" s="22">
        <v>1400</v>
      </c>
      <c r="G181" s="22">
        <v>1300</v>
      </c>
    </row>
    <row r="182" spans="1:7" ht="15.75" customHeight="1">
      <c r="A182" s="50" t="s">
        <v>230</v>
      </c>
      <c r="B182" s="22" t="s">
        <v>231</v>
      </c>
      <c r="C182" s="22"/>
      <c r="D182" s="22"/>
      <c r="E182" s="22">
        <v>1100</v>
      </c>
      <c r="F182" s="22">
        <v>1310</v>
      </c>
      <c r="G182" s="22">
        <v>1220</v>
      </c>
    </row>
    <row r="183" spans="1:7" ht="15.75" customHeight="1">
      <c r="A183" s="58" t="s">
        <v>232</v>
      </c>
      <c r="B183" s="59"/>
      <c r="C183" s="59"/>
      <c r="D183" s="59"/>
      <c r="E183" s="59"/>
      <c r="F183" s="59"/>
      <c r="G183" s="59"/>
    </row>
    <row r="184" spans="1:7" ht="15.75" customHeight="1">
      <c r="A184" s="11" t="s">
        <v>233</v>
      </c>
      <c r="B184" s="22" t="s">
        <v>58</v>
      </c>
      <c r="C184" s="22"/>
      <c r="D184" s="22"/>
      <c r="E184" s="22">
        <v>1900</v>
      </c>
      <c r="F184" s="22">
        <v>2100</v>
      </c>
      <c r="G184" s="22">
        <v>1930</v>
      </c>
    </row>
    <row r="185" spans="1:7" ht="15.75" customHeight="1">
      <c r="A185" s="69" t="s">
        <v>234</v>
      </c>
      <c r="B185" s="8" t="s">
        <v>32</v>
      </c>
      <c r="C185" s="22"/>
      <c r="D185" s="22"/>
      <c r="E185" s="22">
        <v>2800</v>
      </c>
      <c r="F185" s="22">
        <v>3540</v>
      </c>
      <c r="G185" s="22">
        <v>3300</v>
      </c>
    </row>
    <row r="186" spans="1:7" ht="15.75" customHeight="1">
      <c r="A186" s="70" t="s">
        <v>235</v>
      </c>
      <c r="B186" s="59"/>
      <c r="C186" s="59"/>
      <c r="D186" s="59"/>
      <c r="E186" s="59"/>
      <c r="F186" s="59"/>
      <c r="G186" s="59"/>
    </row>
    <row r="187" spans="1:7" ht="15.75" customHeight="1">
      <c r="A187" s="71" t="s">
        <v>236</v>
      </c>
      <c r="B187" s="8" t="s">
        <v>14</v>
      </c>
      <c r="C187" s="22"/>
      <c r="D187" s="22"/>
      <c r="E187" s="22">
        <v>1100</v>
      </c>
      <c r="F187" s="22">
        <v>1550</v>
      </c>
      <c r="G187" s="22">
        <v>1430</v>
      </c>
    </row>
    <row r="188" spans="1:7" ht="15.75" customHeight="1">
      <c r="A188" s="1" t="s">
        <v>237</v>
      </c>
      <c r="B188" s="22" t="s">
        <v>58</v>
      </c>
      <c r="C188" s="22"/>
      <c r="D188" s="22"/>
      <c r="E188" s="22">
        <v>1600</v>
      </c>
      <c r="F188" s="22">
        <v>1700</v>
      </c>
      <c r="G188" s="22">
        <v>1600</v>
      </c>
    </row>
    <row r="189" spans="1:7" ht="15.75" customHeight="1">
      <c r="A189" s="72" t="s">
        <v>238</v>
      </c>
      <c r="B189" s="59"/>
      <c r="C189" s="59"/>
      <c r="D189" s="59"/>
      <c r="E189" s="59"/>
      <c r="F189" s="59"/>
      <c r="G189" s="59"/>
    </row>
    <row r="190" spans="1:7" ht="15.75" customHeight="1">
      <c r="A190" s="73" t="s">
        <v>239</v>
      </c>
      <c r="B190" s="22" t="s">
        <v>240</v>
      </c>
      <c r="C190" s="22"/>
      <c r="D190" s="22"/>
      <c r="E190" s="22">
        <v>1850</v>
      </c>
      <c r="F190" s="22">
        <v>2250</v>
      </c>
      <c r="G190" s="22">
        <v>2100</v>
      </c>
    </row>
    <row r="191" spans="1:7" ht="15.75" customHeight="1">
      <c r="A191" s="74"/>
      <c r="B191" s="74"/>
      <c r="C191" s="74"/>
      <c r="D191" s="74"/>
      <c r="E191" s="74"/>
      <c r="F191" s="74"/>
      <c r="G191" s="74"/>
    </row>
    <row r="192" spans="1:7" ht="15.75" customHeight="1">
      <c r="A192" s="50" t="s">
        <v>241</v>
      </c>
      <c r="B192" s="22" t="s">
        <v>242</v>
      </c>
      <c r="C192" s="22"/>
      <c r="D192" s="22"/>
      <c r="E192" s="22">
        <v>120</v>
      </c>
      <c r="F192" s="22">
        <v>130</v>
      </c>
      <c r="G192" s="22">
        <v>130</v>
      </c>
    </row>
    <row r="193" spans="1:2" ht="15.75" customHeight="1">
      <c r="A193" s="75"/>
      <c r="B193" s="1"/>
    </row>
    <row r="194" spans="1:2" ht="15.75" customHeight="1"/>
    <row r="195" spans="1:2" ht="15.75" customHeight="1"/>
    <row r="196" spans="1:2" ht="15.75" customHeight="1"/>
    <row r="197" spans="1:2" ht="15.75" customHeight="1"/>
    <row r="198" spans="1:2" ht="15.75" customHeight="1"/>
    <row r="199" spans="1:2" ht="15.75" customHeight="1"/>
    <row r="200" spans="1:2" ht="15.75" customHeight="1"/>
    <row r="201" spans="1:2" ht="15.75" customHeight="1"/>
    <row r="202" spans="1:2" ht="15.75" customHeight="1"/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baseColWidth="10" defaultColWidth="11.1640625" defaultRowHeight="15" customHeight="1"/>
  <cols>
    <col min="1" max="1" width="20.1640625" customWidth="1"/>
    <col min="2" max="26" width="11.1640625" customWidth="1"/>
  </cols>
  <sheetData>
    <row r="1" spans="1:9" ht="15.75" customHeight="1"/>
    <row r="2" spans="1:9" ht="15.75" customHeight="1"/>
    <row r="3" spans="1:9" ht="15.75" customHeight="1"/>
    <row r="4" spans="1:9" ht="15.75" customHeight="1"/>
    <row r="5" spans="1:9" ht="15.75" customHeight="1"/>
    <row r="6" spans="1:9" ht="15.75" customHeight="1">
      <c r="B6" s="1" t="s">
        <v>0</v>
      </c>
      <c r="C6" s="1" t="s">
        <v>2</v>
      </c>
      <c r="D6" s="1" t="s">
        <v>3</v>
      </c>
      <c r="F6" s="1" t="s">
        <v>4</v>
      </c>
    </row>
    <row r="7" spans="1:9" ht="15.75" customHeight="1">
      <c r="A7" s="1" t="s">
        <v>5</v>
      </c>
      <c r="B7" s="1">
        <v>1574</v>
      </c>
      <c r="C7" s="1">
        <v>1049</v>
      </c>
      <c r="D7" s="1">
        <v>1499</v>
      </c>
      <c r="F7" s="1">
        <f t="shared" ref="F7:F20" si="0">B7-C7</f>
        <v>525</v>
      </c>
      <c r="G7" s="1">
        <f t="shared" ref="G7:G20" si="1">(F7/B7)*100</f>
        <v>33.354510800508258</v>
      </c>
      <c r="I7" s="1">
        <v>33.354510800508258</v>
      </c>
    </row>
    <row r="8" spans="1:9" ht="15.75" customHeight="1">
      <c r="A8" s="1" t="s">
        <v>11</v>
      </c>
      <c r="B8" s="1">
        <v>787</v>
      </c>
      <c r="C8" s="1">
        <v>520</v>
      </c>
      <c r="D8" s="1">
        <v>800</v>
      </c>
      <c r="F8" s="1">
        <f t="shared" si="0"/>
        <v>267</v>
      </c>
      <c r="G8" s="1">
        <f t="shared" si="1"/>
        <v>33.926302414231259</v>
      </c>
      <c r="I8" s="1">
        <v>33.926302414231259</v>
      </c>
    </row>
    <row r="9" spans="1:9" ht="15.75" customHeight="1">
      <c r="A9" s="1" t="s">
        <v>11</v>
      </c>
      <c r="B9" s="1">
        <v>750</v>
      </c>
      <c r="C9" s="1">
        <v>600</v>
      </c>
      <c r="D9" s="1">
        <v>850</v>
      </c>
      <c r="F9" s="1">
        <f t="shared" si="0"/>
        <v>150</v>
      </c>
      <c r="G9" s="1">
        <f t="shared" si="1"/>
        <v>20</v>
      </c>
      <c r="I9" s="1">
        <v>20</v>
      </c>
    </row>
    <row r="10" spans="1:9" ht="15.75" customHeight="1">
      <c r="A10" s="1" t="s">
        <v>12</v>
      </c>
      <c r="B10" s="1">
        <v>2256</v>
      </c>
      <c r="C10" s="1">
        <v>1700</v>
      </c>
      <c r="D10" s="1">
        <v>2100</v>
      </c>
      <c r="F10" s="1">
        <f t="shared" si="0"/>
        <v>556</v>
      </c>
      <c r="G10" s="1">
        <f t="shared" si="1"/>
        <v>24.645390070921984</v>
      </c>
      <c r="I10" s="1">
        <v>24.645390070921984</v>
      </c>
    </row>
    <row r="11" spans="1:9" ht="15.75" customHeight="1">
      <c r="A11" s="1" t="s">
        <v>15</v>
      </c>
      <c r="B11" s="1">
        <v>734</v>
      </c>
      <c r="C11" s="1">
        <v>800</v>
      </c>
      <c r="D11" s="1">
        <v>1000</v>
      </c>
      <c r="F11" s="1">
        <f t="shared" si="0"/>
        <v>-66</v>
      </c>
      <c r="G11" s="1">
        <f t="shared" si="1"/>
        <v>-8.9918256130790191</v>
      </c>
    </row>
    <row r="12" spans="1:9" ht="15.75" customHeight="1">
      <c r="A12" s="1" t="s">
        <v>17</v>
      </c>
      <c r="B12" s="1">
        <v>5400</v>
      </c>
      <c r="C12" s="1">
        <v>4298</v>
      </c>
      <c r="D12" s="1">
        <v>4700</v>
      </c>
      <c r="F12" s="1">
        <f t="shared" si="0"/>
        <v>1102</v>
      </c>
      <c r="G12" s="1">
        <f t="shared" si="1"/>
        <v>20.407407407407408</v>
      </c>
      <c r="I12" s="1">
        <v>20.407407407407408</v>
      </c>
    </row>
    <row r="13" spans="1:9" ht="15.75" customHeight="1">
      <c r="A13" s="1" t="s">
        <v>18</v>
      </c>
      <c r="B13" s="1">
        <v>1500</v>
      </c>
      <c r="C13" s="1">
        <v>1029</v>
      </c>
      <c r="D13" s="1">
        <v>1400</v>
      </c>
      <c r="F13" s="1">
        <f t="shared" si="0"/>
        <v>471</v>
      </c>
      <c r="G13" s="1">
        <f t="shared" si="1"/>
        <v>31.4</v>
      </c>
      <c r="I13" s="1">
        <v>31.4</v>
      </c>
    </row>
    <row r="14" spans="1:9" ht="15.75" customHeight="1">
      <c r="A14" s="1" t="s">
        <v>19</v>
      </c>
      <c r="B14" s="1">
        <v>1550</v>
      </c>
      <c r="C14" s="1">
        <v>1029</v>
      </c>
      <c r="D14" s="1">
        <v>1400</v>
      </c>
      <c r="F14" s="1">
        <f t="shared" si="0"/>
        <v>521</v>
      </c>
      <c r="G14" s="1">
        <f t="shared" si="1"/>
        <v>33.612903225806448</v>
      </c>
      <c r="I14" s="1">
        <v>33.612903225806448</v>
      </c>
    </row>
    <row r="15" spans="1:9" ht="15.75" customHeight="1">
      <c r="A15" s="1" t="s">
        <v>20</v>
      </c>
      <c r="B15" s="1">
        <v>2676</v>
      </c>
      <c r="C15" s="1">
        <v>1852</v>
      </c>
      <c r="D15" s="1">
        <v>2250</v>
      </c>
      <c r="F15" s="1">
        <f t="shared" si="0"/>
        <v>824</v>
      </c>
      <c r="G15" s="1">
        <f t="shared" si="1"/>
        <v>30.792227204783256</v>
      </c>
      <c r="I15" s="1">
        <v>30.792227204783256</v>
      </c>
    </row>
    <row r="16" spans="1:9" ht="15.75" customHeight="1">
      <c r="A16" s="1" t="s">
        <v>21</v>
      </c>
      <c r="B16" s="1">
        <v>2700</v>
      </c>
      <c r="C16" s="1">
        <v>1977</v>
      </c>
      <c r="D16" s="1">
        <v>2350</v>
      </c>
      <c r="F16" s="1">
        <f t="shared" si="0"/>
        <v>723</v>
      </c>
      <c r="G16" s="1">
        <f t="shared" si="1"/>
        <v>26.777777777777779</v>
      </c>
      <c r="I16" s="1">
        <v>26.777777777777779</v>
      </c>
    </row>
    <row r="17" spans="1:9" ht="15.75" customHeight="1">
      <c r="A17" s="1" t="s">
        <v>22</v>
      </c>
      <c r="B17" s="1">
        <v>3569</v>
      </c>
      <c r="C17" s="1">
        <v>2300</v>
      </c>
      <c r="D17" s="1">
        <v>3000</v>
      </c>
      <c r="F17" s="1">
        <f t="shared" si="0"/>
        <v>1269</v>
      </c>
      <c r="G17" s="1">
        <f t="shared" si="1"/>
        <v>35.556178201176806</v>
      </c>
      <c r="I17" s="1">
        <v>35.556178201176806</v>
      </c>
    </row>
    <row r="18" spans="1:9" ht="15.75" customHeight="1">
      <c r="A18" s="1" t="s">
        <v>23</v>
      </c>
      <c r="B18" s="1">
        <v>2069</v>
      </c>
      <c r="C18" s="1">
        <v>1250</v>
      </c>
      <c r="D18" s="1">
        <v>1850</v>
      </c>
      <c r="F18" s="1">
        <f t="shared" si="0"/>
        <v>819</v>
      </c>
      <c r="G18" s="1">
        <f t="shared" si="1"/>
        <v>39.584340260995646</v>
      </c>
      <c r="I18" s="1">
        <v>39.584340260995646</v>
      </c>
    </row>
    <row r="19" spans="1:9" ht="15.75" customHeight="1">
      <c r="A19" s="1" t="s">
        <v>24</v>
      </c>
      <c r="B19" s="1">
        <v>2939</v>
      </c>
      <c r="C19" s="1">
        <v>2150</v>
      </c>
      <c r="D19" s="1">
        <v>2500</v>
      </c>
      <c r="F19" s="1">
        <f t="shared" si="0"/>
        <v>789</v>
      </c>
      <c r="G19" s="1">
        <f t="shared" si="1"/>
        <v>26.845865940796187</v>
      </c>
      <c r="I19" s="1">
        <v>26.845865940796187</v>
      </c>
    </row>
    <row r="20" spans="1:9" ht="15.75" customHeight="1">
      <c r="A20" s="1" t="s">
        <v>25</v>
      </c>
      <c r="B20" s="1">
        <v>2000</v>
      </c>
      <c r="C20" s="1">
        <v>1800</v>
      </c>
      <c r="D20" s="1">
        <v>2100</v>
      </c>
      <c r="F20" s="1">
        <f t="shared" si="0"/>
        <v>200</v>
      </c>
      <c r="G20" s="1">
        <f t="shared" si="1"/>
        <v>10</v>
      </c>
    </row>
    <row r="21" spans="1:9" ht="15.75" customHeight="1"/>
    <row r="22" spans="1:9" ht="15.75" customHeight="1"/>
    <row r="23" spans="1:9" ht="15.75" customHeight="1">
      <c r="I23" s="1">
        <f>SUM(I7:I19)/12</f>
        <v>29.741908608700424</v>
      </c>
    </row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Micah Vinluan</cp:lastModifiedBy>
  <dcterms:modified xsi:type="dcterms:W3CDTF">2026-09-30T10:42:06Z</dcterms:modified>
</cp:coreProperties>
</file>